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M_DINH_KHOAN_VAY" sheetId="1" state="visible" r:id="rId1"/>
    <sheet xmlns:r="http://schemas.openxmlformats.org/officeDocument/2006/relationships" name="LICH_TRA_NO_240_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VNĐ&quot;"/>
    <numFmt numFmtId="165" formatCode="#,##0 &quot;tháng&quot;"/>
  </numFmts>
  <fonts count="11">
    <font>
      <name val="Calibri"/>
      <family val="2"/>
      <color theme="1"/>
      <sz val="11"/>
      <scheme val="minor"/>
    </font>
    <font>
      <name val="Segoe UI"/>
      <b val="1"/>
      <color rgb="00475569"/>
      <sz val="11"/>
    </font>
    <font>
      <name val="Segoe UI"/>
      <b val="1"/>
      <color rgb="00008B44"/>
      <sz val="14"/>
    </font>
    <font>
      <name val="Segoe UI"/>
      <i val="1"/>
      <color rgb="0064748b"/>
      <sz val="9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i val="1"/>
      <color rgb="0064748B"/>
      <sz val="9"/>
    </font>
    <font>
      <name val="Segoe UI"/>
      <b val="1"/>
      <color rgb="0015803D"/>
      <sz val="10"/>
    </font>
    <font>
      <name val="Segoe UI"/>
      <b val="1"/>
      <color rgb="00008B44"/>
      <sz val="10"/>
    </font>
    <font>
      <name val="Segoe UI"/>
      <b val="1"/>
      <color rgb="00FFFFFF"/>
      <sz val="11"/>
    </font>
    <font>
      <name val="Segoe UI"/>
      <b val="1"/>
      <color rgb="00008B44"/>
      <sz val="11"/>
    </font>
  </fonts>
  <fills count="6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008B44"/>
        <bgColor rgb="00008B44"/>
      </patternFill>
    </fill>
    <fill>
      <patternFill patternType="solid">
        <fgColor rgb="00F8FAFC"/>
        <bgColor rgb="00F8FAFC"/>
      </patternFill>
    </fill>
    <fill>
      <patternFill patternType="solid">
        <fgColor rgb="00E8F6EF"/>
        <bgColor rgb="00E8F6E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4" fontId="4" fillId="0" borderId="1" applyAlignment="1" pivotButton="0" quotePrefix="0" xfId="0">
      <alignment horizontal="right"/>
    </xf>
    <xf numFmtId="0" fontId="6" fillId="0" borderId="1" pivotButton="0" quotePrefix="0" xfId="0"/>
    <xf numFmtId="165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49" fontId="4" fillId="0" borderId="1" applyAlignment="1" pivotButton="0" quotePrefix="0" xfId="0">
      <alignment horizontal="right"/>
    </xf>
    <xf numFmtId="0" fontId="4" fillId="0" borderId="1" pivotButton="0" quotePrefix="0" xfId="0"/>
    <xf numFmtId="0" fontId="7" fillId="2" borderId="1" pivotButton="0" quotePrefix="0" xfId="0"/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1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3" fontId="5" fillId="4" borderId="1" pivotButton="0" quotePrefix="0" xfId="0"/>
    <xf numFmtId="1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164" fontId="4" fillId="5" borderId="1" pivotButton="0" quotePrefix="0" xfId="0"/>
    <xf numFmtId="164" fontId="1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42" customWidth="1" min="3" max="3"/>
  </cols>
  <sheetData>
    <row r="1">
      <c r="A1" s="1" t="inlineStr">
        <is>
          <t>NGÂN HÀNG TMCP VIỆT NAM THỊNH VƯỢNG (VPBANK) - KHỐI KHÁCH HÀNG CÁ NHÂN</t>
        </is>
      </c>
    </row>
    <row r="2">
      <c r="A2" s="2" t="inlineStr">
        <is>
          <t>MÔ HÌNH THẨM ĐỊNH TÍN DỤNG &amp; ĐÁNH GIÁ NGHĨA VỤ NỢ (DTI / LTV)</t>
        </is>
      </c>
    </row>
    <row r="3">
      <c r="A3" s="3" t="inlineStr">
        <is>
          <t>Người lập: Lê Hương Giang (MSV: 223001361) | Vị trí: Chuyên viên Hỗ trợ Tín dụng (CSO)</t>
        </is>
      </c>
    </row>
    <row r="5">
      <c r="A5" s="4" t="inlineStr">
        <is>
          <t>I. THÔNG SỐ GÓI VAY THẾ CHẤP (BẤT ĐỘNG SẢN / NHÀ DỰ ÁN)</t>
        </is>
      </c>
    </row>
    <row r="6">
      <c r="A6" s="5" t="inlineStr">
        <is>
          <t>Số tiền đề nghị vay (VND):</t>
        </is>
      </c>
      <c r="B6" s="6" t="n">
        <v>2000000000</v>
      </c>
      <c r="C6" s="7" t="inlineStr">
        <is>
          <t>Số tiền giải ngân dự kiến</t>
        </is>
      </c>
    </row>
    <row r="7">
      <c r="A7" s="5" t="inlineStr">
        <is>
          <t>Thời hạn vay vốn (Tháng):</t>
        </is>
      </c>
      <c r="B7" s="8" t="n">
        <v>240</v>
      </c>
      <c r="C7" s="7" t="inlineStr">
        <is>
          <t>20 năm (240 kỳ trả nợ)</t>
        </is>
      </c>
    </row>
    <row r="8">
      <c r="A8" s="5" t="inlineStr">
        <is>
          <t>Lãi suất ưu đãi năm đầu (%/năm):</t>
        </is>
      </c>
      <c r="B8" s="9" t="n">
        <v>0.065</v>
      </c>
      <c r="C8" s="7" t="inlineStr">
        <is>
          <t>Cố định 12 tháng đầu</t>
        </is>
      </c>
    </row>
    <row r="9">
      <c r="A9" s="5" t="inlineStr">
        <is>
          <t>Lãi suất thả nổi dự kiến (%/năm):</t>
        </is>
      </c>
      <c r="B9" s="9" t="n">
        <v>0.095</v>
      </c>
      <c r="C9" s="7" t="inlineStr">
        <is>
          <t>Lãi suất cơ sở + Biên độ 3.5%</t>
        </is>
      </c>
    </row>
    <row r="10">
      <c r="A10" s="5" t="inlineStr">
        <is>
          <t>Phương thức trả nợ:</t>
        </is>
      </c>
      <c r="B10" s="10" t="inlineStr">
        <is>
          <t>Gốc đều hàng tháng, Lãi tính theo dư nợ giảm dần</t>
        </is>
      </c>
      <c r="C10" s="7" t="inlineStr">
        <is>
          <t>Chuẩn VPBank Retail</t>
        </is>
      </c>
    </row>
    <row r="11">
      <c r="A11" s="5" t="inlineStr">
        <is>
          <t>Giá trị tài sản bảo đảm định giá (VND):</t>
        </is>
      </c>
      <c r="B11" s="6" t="n">
        <v>2800000000</v>
      </c>
      <c r="C11" s="7" t="inlineStr">
        <is>
          <t>Căn hộ chung cư cao cấp</t>
        </is>
      </c>
    </row>
    <row r="13">
      <c r="A13" s="4" t="inlineStr">
        <is>
          <t>II. THẨM ĐỊNH NĂNG LỰC TÀI CHÍNH &amp; TỶ LỆ TRẢ NỢ DTI</t>
        </is>
      </c>
    </row>
    <row r="14">
      <c r="A14" s="5" t="inlineStr">
        <is>
          <t>Tổng thu nhập chứng minh hàng tháng (VND):</t>
        </is>
      </c>
      <c r="B14" s="6" t="n">
        <v>45000000</v>
      </c>
      <c r="C14" s="7" t="inlineStr">
        <is>
          <t>Lương chuyển khoản qua VCB + Cho thuê xe</t>
        </is>
      </c>
    </row>
    <row r="15">
      <c r="A15" s="5" t="inlineStr">
        <is>
          <t>Chi phí sinh hoạt tối thiểu của hộ gia đình (VND):</t>
        </is>
      </c>
      <c r="B15" s="6" t="n">
        <v>15000000</v>
      </c>
      <c r="C15" s="7" t="inlineStr">
        <is>
          <t>Định mức theo quy chế VPBank</t>
        </is>
      </c>
    </row>
    <row r="16">
      <c r="A16" s="5" t="inlineStr">
        <is>
          <t>Nghĩa vụ trả nợ các TCTD khác (CIC) (VND):</t>
        </is>
      </c>
      <c r="B16" s="6" t="n">
        <v>0</v>
      </c>
      <c r="C16" s="7" t="inlineStr">
        <is>
          <t>Lịch sử CIC Nhóm 1 - Tốt</t>
        </is>
      </c>
    </row>
    <row r="17">
      <c r="A17" s="5" t="inlineStr">
        <is>
          <t>Số tiền gốc trả hàng tháng (VND):</t>
        </is>
      </c>
      <c r="B17" s="6">
        <f>B6/B7</f>
        <v/>
      </c>
      <c r="C17" s="7" t="inlineStr">
        <is>
          <t>Gốc bình quân = 2,000,000,000 / 240</t>
        </is>
      </c>
    </row>
    <row r="18">
      <c r="A18" s="5" t="inlineStr">
        <is>
          <t>Số tiền lãi tháng cao nhất (Kỳ 1) (VND):</t>
        </is>
      </c>
      <c r="B18" s="6">
        <f>B6*(B8/12)</f>
        <v/>
      </c>
      <c r="C18" s="7" t="inlineStr">
        <is>
          <t>Lãi tháng 1 = 2,000,000,000 * 6.5% / 12</t>
        </is>
      </c>
    </row>
    <row r="19">
      <c r="A19" s="5" t="inlineStr">
        <is>
          <t>Tổng nghĩa vụ trả nợ tháng cao nhất (VND):</t>
        </is>
      </c>
      <c r="B19" s="6">
        <f>B17+B18</f>
        <v/>
      </c>
      <c r="C19" s="7" t="inlineStr">
        <is>
          <t>Gốc + Lãi tháng 1</t>
        </is>
      </c>
    </row>
    <row r="20">
      <c r="A20" s="5" t="inlineStr">
        <is>
          <t>Tỷ lệ nghĩa vụ nợ trên thu nhập (DTI):</t>
        </is>
      </c>
      <c r="B20" s="9">
        <f>B19/B14</f>
        <v/>
      </c>
      <c r="C20" s="7" t="inlineStr">
        <is>
          <t>Quy định VPBank: DTI &lt;= 60%</t>
        </is>
      </c>
    </row>
    <row r="21">
      <c r="A21" s="5" t="inlineStr">
        <is>
          <t>Tỷ lệ cho vay trên giá trị tài sản (LTV):</t>
        </is>
      </c>
      <c r="B21" s="9">
        <f>B6/B11</f>
        <v/>
      </c>
      <c r="C21" s="7" t="inlineStr">
        <is>
          <t>Quy định VPBank: LTV &lt;= 75%</t>
        </is>
      </c>
    </row>
    <row r="23">
      <c r="A23" s="4" t="inlineStr">
        <is>
          <t>III. KẾT LUẬN THẨM ĐỊNH SƠ BỘ CỦA CHUYÊN VIÊN HỖ TRỢ TÍN DỤNG</t>
        </is>
      </c>
    </row>
    <row r="24">
      <c r="A24" s="11" t="inlineStr">
        <is>
          <t>Đánh giá DTI:</t>
        </is>
      </c>
      <c r="B24" s="12">
        <f>IF(B20&lt;=0.6, "✅ ĐẠT YÊU CẦU (DTI &lt;= 60%)", "❌ CẢNH BÁO RỦI RO (DTI &gt; 60%)")</f>
        <v/>
      </c>
      <c r="C24" s="13" t="n"/>
    </row>
    <row r="25">
      <c r="A25" s="11" t="inlineStr">
        <is>
          <t>Đánh giá LTV:</t>
        </is>
      </c>
      <c r="B25" s="12">
        <f>IF(B21&lt;=0.75, "✅ ĐẠT YÊU CẦU (LTV &lt;= 75%)", "❌ VƯỢT QUY ĐỊNH (LTV &gt; 75%)")</f>
        <v/>
      </c>
      <c r="C25" s="13" t="n"/>
    </row>
    <row r="26">
      <c r="A26" s="11" t="inlineStr">
        <is>
          <t>Đề xuất phê duyệt:</t>
        </is>
      </c>
      <c r="B26" s="14" t="inlineStr">
        <is>
          <t>ĐỦ ĐIỀU KIỆN TIẾP NHẬN &amp; CHUYỂN BỘ PHẬN TÁC NGHIỆP TRÌNH PHÊ DUYỆT TÍN DỤNG</t>
        </is>
      </c>
      <c r="C26" s="13" t="n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  <col width="24" customWidth="1" min="5" max="5"/>
    <col width="24" customWidth="1" min="6" max="6"/>
    <col width="22" customWidth="1" min="7" max="7"/>
  </cols>
  <sheetData>
    <row r="1">
      <c r="A1" s="2" t="inlineStr">
        <is>
          <t>BẢNG LỊCH THANH TOÁN GỐC &amp; LÃI CHI TIẾT 240 KỲ (DƯ NỢ GIẢM DẦN)</t>
        </is>
      </c>
    </row>
    <row r="3">
      <c r="A3" s="15" t="inlineStr">
        <is>
          <t>Kỳ trả nợ</t>
        </is>
      </c>
      <c r="B3" s="15" t="inlineStr">
        <is>
          <t>Dư nợ đầu kỳ (VND)</t>
        </is>
      </c>
      <c r="C3" s="15" t="inlineStr">
        <is>
          <t>Gốc trả hàng tháng (VND)</t>
        </is>
      </c>
      <c r="D3" s="15" t="inlineStr">
        <is>
          <t>Lãi suất áp dụng</t>
        </is>
      </c>
      <c r="E3" s="15" t="inlineStr">
        <is>
          <t>Tiền lãi hàng tháng (VND)</t>
        </is>
      </c>
      <c r="F3" s="15" t="inlineStr">
        <is>
          <t>Tổng thanh toán kỳ (VND)</t>
        </is>
      </c>
      <c r="G3" s="15" t="inlineStr">
        <is>
          <t>Dư nợ cuối kỳ (VND)</t>
        </is>
      </c>
    </row>
    <row r="4">
      <c r="A4" s="16" t="n">
        <v>1</v>
      </c>
      <c r="B4" s="17">
        <f>THAM_DINH_KHOAN_VAY!B6</f>
        <v/>
      </c>
      <c r="C4" s="17">
        <f>THAM_DINH_KHOAN_VAY!$B$6/THAM_DINH_KHOAN_VAY!$B$7</f>
        <v/>
      </c>
      <c r="D4" s="18">
        <f>THAM_DINH_KHOAN_VAY!$B$8</f>
        <v/>
      </c>
      <c r="E4" s="17">
        <f>B4*(D4/12)</f>
        <v/>
      </c>
      <c r="F4" s="17">
        <f>C4+E4</f>
        <v/>
      </c>
      <c r="G4" s="17">
        <f>MAX(0, B4-C4)</f>
        <v/>
      </c>
    </row>
    <row r="5">
      <c r="A5" s="19" t="n">
        <v>2</v>
      </c>
      <c r="B5" s="20">
        <f>G4</f>
        <v/>
      </c>
      <c r="C5" s="20">
        <f>THAM_DINH_KHOAN_VAY!$B$6/THAM_DINH_KHOAN_VAY!$B$7</f>
        <v/>
      </c>
      <c r="D5" s="21">
        <f>THAM_DINH_KHOAN_VAY!$B$8</f>
        <v/>
      </c>
      <c r="E5" s="20">
        <f>B5*(D5/12)</f>
        <v/>
      </c>
      <c r="F5" s="20">
        <f>C5+E5</f>
        <v/>
      </c>
      <c r="G5" s="20">
        <f>MAX(0, B5-C5)</f>
        <v/>
      </c>
    </row>
    <row r="6">
      <c r="A6" s="16" t="n">
        <v>3</v>
      </c>
      <c r="B6" s="17">
        <f>G5</f>
        <v/>
      </c>
      <c r="C6" s="17">
        <f>THAM_DINH_KHOAN_VAY!$B$6/THAM_DINH_KHOAN_VAY!$B$7</f>
        <v/>
      </c>
      <c r="D6" s="18">
        <f>THAM_DINH_KHOAN_VAY!$B$8</f>
        <v/>
      </c>
      <c r="E6" s="17">
        <f>B6*(D6/12)</f>
        <v/>
      </c>
      <c r="F6" s="17">
        <f>C6+E6</f>
        <v/>
      </c>
      <c r="G6" s="17">
        <f>MAX(0, B6-C6)</f>
        <v/>
      </c>
    </row>
    <row r="7">
      <c r="A7" s="19" t="n">
        <v>4</v>
      </c>
      <c r="B7" s="20">
        <f>G6</f>
        <v/>
      </c>
      <c r="C7" s="20">
        <f>THAM_DINH_KHOAN_VAY!$B$6/THAM_DINH_KHOAN_VAY!$B$7</f>
        <v/>
      </c>
      <c r="D7" s="21">
        <f>THAM_DINH_KHOAN_VAY!$B$8</f>
        <v/>
      </c>
      <c r="E7" s="20">
        <f>B7*(D7/12)</f>
        <v/>
      </c>
      <c r="F7" s="20">
        <f>C7+E7</f>
        <v/>
      </c>
      <c r="G7" s="20">
        <f>MAX(0, B7-C7)</f>
        <v/>
      </c>
    </row>
    <row r="8">
      <c r="A8" s="16" t="n">
        <v>5</v>
      </c>
      <c r="B8" s="17">
        <f>G7</f>
        <v/>
      </c>
      <c r="C8" s="17">
        <f>THAM_DINH_KHOAN_VAY!$B$6/THAM_DINH_KHOAN_VAY!$B$7</f>
        <v/>
      </c>
      <c r="D8" s="18">
        <f>THAM_DINH_KHOAN_VAY!$B$8</f>
        <v/>
      </c>
      <c r="E8" s="17">
        <f>B8*(D8/12)</f>
        <v/>
      </c>
      <c r="F8" s="17">
        <f>C8+E8</f>
        <v/>
      </c>
      <c r="G8" s="17">
        <f>MAX(0, B8-C8)</f>
        <v/>
      </c>
    </row>
    <row r="9">
      <c r="A9" s="19" t="n">
        <v>6</v>
      </c>
      <c r="B9" s="20">
        <f>G8</f>
        <v/>
      </c>
      <c r="C9" s="20">
        <f>THAM_DINH_KHOAN_VAY!$B$6/THAM_DINH_KHOAN_VAY!$B$7</f>
        <v/>
      </c>
      <c r="D9" s="21">
        <f>THAM_DINH_KHOAN_VAY!$B$8</f>
        <v/>
      </c>
      <c r="E9" s="20">
        <f>B9*(D9/12)</f>
        <v/>
      </c>
      <c r="F9" s="20">
        <f>C9+E9</f>
        <v/>
      </c>
      <c r="G9" s="20">
        <f>MAX(0, B9-C9)</f>
        <v/>
      </c>
    </row>
    <row r="10">
      <c r="A10" s="16" t="n">
        <v>7</v>
      </c>
      <c r="B10" s="17">
        <f>G9</f>
        <v/>
      </c>
      <c r="C10" s="17">
        <f>THAM_DINH_KHOAN_VAY!$B$6/THAM_DINH_KHOAN_VAY!$B$7</f>
        <v/>
      </c>
      <c r="D10" s="18">
        <f>THAM_DINH_KHOAN_VAY!$B$8</f>
        <v/>
      </c>
      <c r="E10" s="17">
        <f>B10*(D10/12)</f>
        <v/>
      </c>
      <c r="F10" s="17">
        <f>C10+E10</f>
        <v/>
      </c>
      <c r="G10" s="17">
        <f>MAX(0, B10-C10)</f>
        <v/>
      </c>
    </row>
    <row r="11">
      <c r="A11" s="19" t="n">
        <v>8</v>
      </c>
      <c r="B11" s="20">
        <f>G10</f>
        <v/>
      </c>
      <c r="C11" s="20">
        <f>THAM_DINH_KHOAN_VAY!$B$6/THAM_DINH_KHOAN_VAY!$B$7</f>
        <v/>
      </c>
      <c r="D11" s="21">
        <f>THAM_DINH_KHOAN_VAY!$B$8</f>
        <v/>
      </c>
      <c r="E11" s="20">
        <f>B11*(D11/12)</f>
        <v/>
      </c>
      <c r="F11" s="20">
        <f>C11+E11</f>
        <v/>
      </c>
      <c r="G11" s="20">
        <f>MAX(0, B11-C11)</f>
        <v/>
      </c>
    </row>
    <row r="12">
      <c r="A12" s="16" t="n">
        <v>9</v>
      </c>
      <c r="B12" s="17">
        <f>G11</f>
        <v/>
      </c>
      <c r="C12" s="17">
        <f>THAM_DINH_KHOAN_VAY!$B$6/THAM_DINH_KHOAN_VAY!$B$7</f>
        <v/>
      </c>
      <c r="D12" s="18">
        <f>THAM_DINH_KHOAN_VAY!$B$8</f>
        <v/>
      </c>
      <c r="E12" s="17">
        <f>B12*(D12/12)</f>
        <v/>
      </c>
      <c r="F12" s="17">
        <f>C12+E12</f>
        <v/>
      </c>
      <c r="G12" s="17">
        <f>MAX(0, B12-C12)</f>
        <v/>
      </c>
    </row>
    <row r="13">
      <c r="A13" s="19" t="n">
        <v>10</v>
      </c>
      <c r="B13" s="20">
        <f>G12</f>
        <v/>
      </c>
      <c r="C13" s="20">
        <f>THAM_DINH_KHOAN_VAY!$B$6/THAM_DINH_KHOAN_VAY!$B$7</f>
        <v/>
      </c>
      <c r="D13" s="21">
        <f>THAM_DINH_KHOAN_VAY!$B$8</f>
        <v/>
      </c>
      <c r="E13" s="20">
        <f>B13*(D13/12)</f>
        <v/>
      </c>
      <c r="F13" s="20">
        <f>C13+E13</f>
        <v/>
      </c>
      <c r="G13" s="20">
        <f>MAX(0, B13-C13)</f>
        <v/>
      </c>
    </row>
    <row r="14">
      <c r="A14" s="16" t="n">
        <v>11</v>
      </c>
      <c r="B14" s="17">
        <f>G13</f>
        <v/>
      </c>
      <c r="C14" s="17">
        <f>THAM_DINH_KHOAN_VAY!$B$6/THAM_DINH_KHOAN_VAY!$B$7</f>
        <v/>
      </c>
      <c r="D14" s="18">
        <f>THAM_DINH_KHOAN_VAY!$B$8</f>
        <v/>
      </c>
      <c r="E14" s="17">
        <f>B14*(D14/12)</f>
        <v/>
      </c>
      <c r="F14" s="17">
        <f>C14+E14</f>
        <v/>
      </c>
      <c r="G14" s="17">
        <f>MAX(0, B14-C14)</f>
        <v/>
      </c>
    </row>
    <row r="15">
      <c r="A15" s="19" t="n">
        <v>12</v>
      </c>
      <c r="B15" s="20">
        <f>G14</f>
        <v/>
      </c>
      <c r="C15" s="20">
        <f>THAM_DINH_KHOAN_VAY!$B$6/THAM_DINH_KHOAN_VAY!$B$7</f>
        <v/>
      </c>
      <c r="D15" s="21">
        <f>THAM_DINH_KHOAN_VAY!$B$8</f>
        <v/>
      </c>
      <c r="E15" s="20">
        <f>B15*(D15/12)</f>
        <v/>
      </c>
      <c r="F15" s="20">
        <f>C15+E15</f>
        <v/>
      </c>
      <c r="G15" s="20">
        <f>MAX(0, B15-C15)</f>
        <v/>
      </c>
    </row>
    <row r="16">
      <c r="A16" s="16" t="n">
        <v>13</v>
      </c>
      <c r="B16" s="17">
        <f>G15</f>
        <v/>
      </c>
      <c r="C16" s="17">
        <f>THAM_DINH_KHOAN_VAY!$B$6/THAM_DINH_KHOAN_VAY!$B$7</f>
        <v/>
      </c>
      <c r="D16" s="18">
        <f>THAM_DINH_KHOAN_VAY!$B$9</f>
        <v/>
      </c>
      <c r="E16" s="17">
        <f>B16*(D16/12)</f>
        <v/>
      </c>
      <c r="F16" s="17">
        <f>C16+E16</f>
        <v/>
      </c>
      <c r="G16" s="17">
        <f>MAX(0, B16-C16)</f>
        <v/>
      </c>
    </row>
    <row r="17">
      <c r="A17" s="19" t="n">
        <v>14</v>
      </c>
      <c r="B17" s="20">
        <f>G16</f>
        <v/>
      </c>
      <c r="C17" s="20">
        <f>THAM_DINH_KHOAN_VAY!$B$6/THAM_DINH_KHOAN_VAY!$B$7</f>
        <v/>
      </c>
      <c r="D17" s="21">
        <f>THAM_DINH_KHOAN_VAY!$B$9</f>
        <v/>
      </c>
      <c r="E17" s="20">
        <f>B17*(D17/12)</f>
        <v/>
      </c>
      <c r="F17" s="20">
        <f>C17+E17</f>
        <v/>
      </c>
      <c r="G17" s="20">
        <f>MAX(0, B17-C17)</f>
        <v/>
      </c>
    </row>
    <row r="18">
      <c r="A18" s="16" t="n">
        <v>15</v>
      </c>
      <c r="B18" s="17">
        <f>G17</f>
        <v/>
      </c>
      <c r="C18" s="17">
        <f>THAM_DINH_KHOAN_VAY!$B$6/THAM_DINH_KHOAN_VAY!$B$7</f>
        <v/>
      </c>
      <c r="D18" s="18">
        <f>THAM_DINH_KHOAN_VAY!$B$9</f>
        <v/>
      </c>
      <c r="E18" s="17">
        <f>B18*(D18/12)</f>
        <v/>
      </c>
      <c r="F18" s="17">
        <f>C18+E18</f>
        <v/>
      </c>
      <c r="G18" s="17">
        <f>MAX(0, B18-C18)</f>
        <v/>
      </c>
    </row>
    <row r="19">
      <c r="A19" s="19" t="n">
        <v>16</v>
      </c>
      <c r="B19" s="20">
        <f>G18</f>
        <v/>
      </c>
      <c r="C19" s="20">
        <f>THAM_DINH_KHOAN_VAY!$B$6/THAM_DINH_KHOAN_VAY!$B$7</f>
        <v/>
      </c>
      <c r="D19" s="21">
        <f>THAM_DINH_KHOAN_VAY!$B$9</f>
        <v/>
      </c>
      <c r="E19" s="20">
        <f>B19*(D19/12)</f>
        <v/>
      </c>
      <c r="F19" s="20">
        <f>C19+E19</f>
        <v/>
      </c>
      <c r="G19" s="20">
        <f>MAX(0, B19-C19)</f>
        <v/>
      </c>
    </row>
    <row r="20">
      <c r="A20" s="16" t="n">
        <v>17</v>
      </c>
      <c r="B20" s="17">
        <f>G19</f>
        <v/>
      </c>
      <c r="C20" s="17">
        <f>THAM_DINH_KHOAN_VAY!$B$6/THAM_DINH_KHOAN_VAY!$B$7</f>
        <v/>
      </c>
      <c r="D20" s="18">
        <f>THAM_DINH_KHOAN_VAY!$B$9</f>
        <v/>
      </c>
      <c r="E20" s="17">
        <f>B20*(D20/12)</f>
        <v/>
      </c>
      <c r="F20" s="17">
        <f>C20+E20</f>
        <v/>
      </c>
      <c r="G20" s="17">
        <f>MAX(0, B20-C20)</f>
        <v/>
      </c>
    </row>
    <row r="21">
      <c r="A21" s="19" t="n">
        <v>18</v>
      </c>
      <c r="B21" s="20">
        <f>G20</f>
        <v/>
      </c>
      <c r="C21" s="20">
        <f>THAM_DINH_KHOAN_VAY!$B$6/THAM_DINH_KHOAN_VAY!$B$7</f>
        <v/>
      </c>
      <c r="D21" s="21">
        <f>THAM_DINH_KHOAN_VAY!$B$9</f>
        <v/>
      </c>
      <c r="E21" s="20">
        <f>B21*(D21/12)</f>
        <v/>
      </c>
      <c r="F21" s="20">
        <f>C21+E21</f>
        <v/>
      </c>
      <c r="G21" s="20">
        <f>MAX(0, B21-C21)</f>
        <v/>
      </c>
    </row>
    <row r="22">
      <c r="A22" s="16" t="n">
        <v>19</v>
      </c>
      <c r="B22" s="17">
        <f>G21</f>
        <v/>
      </c>
      <c r="C22" s="17">
        <f>THAM_DINH_KHOAN_VAY!$B$6/THAM_DINH_KHOAN_VAY!$B$7</f>
        <v/>
      </c>
      <c r="D22" s="18">
        <f>THAM_DINH_KHOAN_VAY!$B$9</f>
        <v/>
      </c>
      <c r="E22" s="17">
        <f>B22*(D22/12)</f>
        <v/>
      </c>
      <c r="F22" s="17">
        <f>C22+E22</f>
        <v/>
      </c>
      <c r="G22" s="17">
        <f>MAX(0, B22-C22)</f>
        <v/>
      </c>
    </row>
    <row r="23">
      <c r="A23" s="19" t="n">
        <v>20</v>
      </c>
      <c r="B23" s="20">
        <f>G22</f>
        <v/>
      </c>
      <c r="C23" s="20">
        <f>THAM_DINH_KHOAN_VAY!$B$6/THAM_DINH_KHOAN_VAY!$B$7</f>
        <v/>
      </c>
      <c r="D23" s="21">
        <f>THAM_DINH_KHOAN_VAY!$B$9</f>
        <v/>
      </c>
      <c r="E23" s="20">
        <f>B23*(D23/12)</f>
        <v/>
      </c>
      <c r="F23" s="20">
        <f>C23+E23</f>
        <v/>
      </c>
      <c r="G23" s="20">
        <f>MAX(0, B23-C23)</f>
        <v/>
      </c>
    </row>
    <row r="24">
      <c r="A24" s="16" t="n">
        <v>21</v>
      </c>
      <c r="B24" s="17">
        <f>G23</f>
        <v/>
      </c>
      <c r="C24" s="17">
        <f>THAM_DINH_KHOAN_VAY!$B$6/THAM_DINH_KHOAN_VAY!$B$7</f>
        <v/>
      </c>
      <c r="D24" s="18">
        <f>THAM_DINH_KHOAN_VAY!$B$9</f>
        <v/>
      </c>
      <c r="E24" s="17">
        <f>B24*(D24/12)</f>
        <v/>
      </c>
      <c r="F24" s="17">
        <f>C24+E24</f>
        <v/>
      </c>
      <c r="G24" s="17">
        <f>MAX(0, B24-C24)</f>
        <v/>
      </c>
    </row>
    <row r="25">
      <c r="A25" s="19" t="n">
        <v>22</v>
      </c>
      <c r="B25" s="20">
        <f>G24</f>
        <v/>
      </c>
      <c r="C25" s="20">
        <f>THAM_DINH_KHOAN_VAY!$B$6/THAM_DINH_KHOAN_VAY!$B$7</f>
        <v/>
      </c>
      <c r="D25" s="21">
        <f>THAM_DINH_KHOAN_VAY!$B$9</f>
        <v/>
      </c>
      <c r="E25" s="20">
        <f>B25*(D25/12)</f>
        <v/>
      </c>
      <c r="F25" s="20">
        <f>C25+E25</f>
        <v/>
      </c>
      <c r="G25" s="20">
        <f>MAX(0, B25-C25)</f>
        <v/>
      </c>
    </row>
    <row r="26">
      <c r="A26" s="16" t="n">
        <v>23</v>
      </c>
      <c r="B26" s="17">
        <f>G25</f>
        <v/>
      </c>
      <c r="C26" s="17">
        <f>THAM_DINH_KHOAN_VAY!$B$6/THAM_DINH_KHOAN_VAY!$B$7</f>
        <v/>
      </c>
      <c r="D26" s="18">
        <f>THAM_DINH_KHOAN_VAY!$B$9</f>
        <v/>
      </c>
      <c r="E26" s="17">
        <f>B26*(D26/12)</f>
        <v/>
      </c>
      <c r="F26" s="17">
        <f>C26+E26</f>
        <v/>
      </c>
      <c r="G26" s="17">
        <f>MAX(0, B26-C26)</f>
        <v/>
      </c>
    </row>
    <row r="27">
      <c r="A27" s="19" t="n">
        <v>24</v>
      </c>
      <c r="B27" s="20">
        <f>G26</f>
        <v/>
      </c>
      <c r="C27" s="20">
        <f>THAM_DINH_KHOAN_VAY!$B$6/THAM_DINH_KHOAN_VAY!$B$7</f>
        <v/>
      </c>
      <c r="D27" s="21">
        <f>THAM_DINH_KHOAN_VAY!$B$9</f>
        <v/>
      </c>
      <c r="E27" s="20">
        <f>B27*(D27/12)</f>
        <v/>
      </c>
      <c r="F27" s="20">
        <f>C27+E27</f>
        <v/>
      </c>
      <c r="G27" s="20">
        <f>MAX(0, B27-C27)</f>
        <v/>
      </c>
    </row>
    <row r="28">
      <c r="A28" s="16" t="n">
        <v>25</v>
      </c>
      <c r="B28" s="17">
        <f>G27</f>
        <v/>
      </c>
      <c r="C28" s="17">
        <f>THAM_DINH_KHOAN_VAY!$B$6/THAM_DINH_KHOAN_VAY!$B$7</f>
        <v/>
      </c>
      <c r="D28" s="18">
        <f>THAM_DINH_KHOAN_VAY!$B$9</f>
        <v/>
      </c>
      <c r="E28" s="17">
        <f>B28*(D28/12)</f>
        <v/>
      </c>
      <c r="F28" s="17">
        <f>C28+E28</f>
        <v/>
      </c>
      <c r="G28" s="17">
        <f>MAX(0, B28-C28)</f>
        <v/>
      </c>
    </row>
    <row r="29">
      <c r="A29" s="19" t="n">
        <v>26</v>
      </c>
      <c r="B29" s="20">
        <f>G28</f>
        <v/>
      </c>
      <c r="C29" s="20">
        <f>THAM_DINH_KHOAN_VAY!$B$6/THAM_DINH_KHOAN_VAY!$B$7</f>
        <v/>
      </c>
      <c r="D29" s="21">
        <f>THAM_DINH_KHOAN_VAY!$B$9</f>
        <v/>
      </c>
      <c r="E29" s="20">
        <f>B29*(D29/12)</f>
        <v/>
      </c>
      <c r="F29" s="20">
        <f>C29+E29</f>
        <v/>
      </c>
      <c r="G29" s="20">
        <f>MAX(0, B29-C29)</f>
        <v/>
      </c>
    </row>
    <row r="30">
      <c r="A30" s="16" t="n">
        <v>27</v>
      </c>
      <c r="B30" s="17">
        <f>G29</f>
        <v/>
      </c>
      <c r="C30" s="17">
        <f>THAM_DINH_KHOAN_VAY!$B$6/THAM_DINH_KHOAN_VAY!$B$7</f>
        <v/>
      </c>
      <c r="D30" s="18">
        <f>THAM_DINH_KHOAN_VAY!$B$9</f>
        <v/>
      </c>
      <c r="E30" s="17">
        <f>B30*(D30/12)</f>
        <v/>
      </c>
      <c r="F30" s="17">
        <f>C30+E30</f>
        <v/>
      </c>
      <c r="G30" s="17">
        <f>MAX(0, B30-C30)</f>
        <v/>
      </c>
    </row>
    <row r="31">
      <c r="A31" s="19" t="n">
        <v>28</v>
      </c>
      <c r="B31" s="20">
        <f>G30</f>
        <v/>
      </c>
      <c r="C31" s="20">
        <f>THAM_DINH_KHOAN_VAY!$B$6/THAM_DINH_KHOAN_VAY!$B$7</f>
        <v/>
      </c>
      <c r="D31" s="21">
        <f>THAM_DINH_KHOAN_VAY!$B$9</f>
        <v/>
      </c>
      <c r="E31" s="20">
        <f>B31*(D31/12)</f>
        <v/>
      </c>
      <c r="F31" s="20">
        <f>C31+E31</f>
        <v/>
      </c>
      <c r="G31" s="20">
        <f>MAX(0, B31-C31)</f>
        <v/>
      </c>
    </row>
    <row r="32">
      <c r="A32" s="16" t="n">
        <v>29</v>
      </c>
      <c r="B32" s="17">
        <f>G31</f>
        <v/>
      </c>
      <c r="C32" s="17">
        <f>THAM_DINH_KHOAN_VAY!$B$6/THAM_DINH_KHOAN_VAY!$B$7</f>
        <v/>
      </c>
      <c r="D32" s="18">
        <f>THAM_DINH_KHOAN_VAY!$B$9</f>
        <v/>
      </c>
      <c r="E32" s="17">
        <f>B32*(D32/12)</f>
        <v/>
      </c>
      <c r="F32" s="17">
        <f>C32+E32</f>
        <v/>
      </c>
      <c r="G32" s="17">
        <f>MAX(0, B32-C32)</f>
        <v/>
      </c>
    </row>
    <row r="33">
      <c r="A33" s="19" t="n">
        <v>30</v>
      </c>
      <c r="B33" s="20">
        <f>G32</f>
        <v/>
      </c>
      <c r="C33" s="20">
        <f>THAM_DINH_KHOAN_VAY!$B$6/THAM_DINH_KHOAN_VAY!$B$7</f>
        <v/>
      </c>
      <c r="D33" s="21">
        <f>THAM_DINH_KHOAN_VAY!$B$9</f>
        <v/>
      </c>
      <c r="E33" s="20">
        <f>B33*(D33/12)</f>
        <v/>
      </c>
      <c r="F33" s="20">
        <f>C33+E33</f>
        <v/>
      </c>
      <c r="G33" s="20">
        <f>MAX(0, B33-C33)</f>
        <v/>
      </c>
    </row>
    <row r="34">
      <c r="A34" s="16" t="n">
        <v>31</v>
      </c>
      <c r="B34" s="17">
        <f>G33</f>
        <v/>
      </c>
      <c r="C34" s="17">
        <f>THAM_DINH_KHOAN_VAY!$B$6/THAM_DINH_KHOAN_VAY!$B$7</f>
        <v/>
      </c>
      <c r="D34" s="18">
        <f>THAM_DINH_KHOAN_VAY!$B$9</f>
        <v/>
      </c>
      <c r="E34" s="17">
        <f>B34*(D34/12)</f>
        <v/>
      </c>
      <c r="F34" s="17">
        <f>C34+E34</f>
        <v/>
      </c>
      <c r="G34" s="17">
        <f>MAX(0, B34-C34)</f>
        <v/>
      </c>
    </row>
    <row r="35">
      <c r="A35" s="19" t="n">
        <v>32</v>
      </c>
      <c r="B35" s="20">
        <f>G34</f>
        <v/>
      </c>
      <c r="C35" s="20">
        <f>THAM_DINH_KHOAN_VAY!$B$6/THAM_DINH_KHOAN_VAY!$B$7</f>
        <v/>
      </c>
      <c r="D35" s="21">
        <f>THAM_DINH_KHOAN_VAY!$B$9</f>
        <v/>
      </c>
      <c r="E35" s="20">
        <f>B35*(D35/12)</f>
        <v/>
      </c>
      <c r="F35" s="20">
        <f>C35+E35</f>
        <v/>
      </c>
      <c r="G35" s="20">
        <f>MAX(0, B35-C35)</f>
        <v/>
      </c>
    </row>
    <row r="36">
      <c r="A36" s="16" t="n">
        <v>33</v>
      </c>
      <c r="B36" s="17">
        <f>G35</f>
        <v/>
      </c>
      <c r="C36" s="17">
        <f>THAM_DINH_KHOAN_VAY!$B$6/THAM_DINH_KHOAN_VAY!$B$7</f>
        <v/>
      </c>
      <c r="D36" s="18">
        <f>THAM_DINH_KHOAN_VAY!$B$9</f>
        <v/>
      </c>
      <c r="E36" s="17">
        <f>B36*(D36/12)</f>
        <v/>
      </c>
      <c r="F36" s="17">
        <f>C36+E36</f>
        <v/>
      </c>
      <c r="G36" s="17">
        <f>MAX(0, B36-C36)</f>
        <v/>
      </c>
    </row>
    <row r="37">
      <c r="A37" s="19" t="n">
        <v>34</v>
      </c>
      <c r="B37" s="20">
        <f>G36</f>
        <v/>
      </c>
      <c r="C37" s="20">
        <f>THAM_DINH_KHOAN_VAY!$B$6/THAM_DINH_KHOAN_VAY!$B$7</f>
        <v/>
      </c>
      <c r="D37" s="21">
        <f>THAM_DINH_KHOAN_VAY!$B$9</f>
        <v/>
      </c>
      <c r="E37" s="20">
        <f>B37*(D37/12)</f>
        <v/>
      </c>
      <c r="F37" s="20">
        <f>C37+E37</f>
        <v/>
      </c>
      <c r="G37" s="20">
        <f>MAX(0, B37-C37)</f>
        <v/>
      </c>
    </row>
    <row r="38">
      <c r="A38" s="16" t="n">
        <v>35</v>
      </c>
      <c r="B38" s="17">
        <f>G37</f>
        <v/>
      </c>
      <c r="C38" s="17">
        <f>THAM_DINH_KHOAN_VAY!$B$6/THAM_DINH_KHOAN_VAY!$B$7</f>
        <v/>
      </c>
      <c r="D38" s="18">
        <f>THAM_DINH_KHOAN_VAY!$B$9</f>
        <v/>
      </c>
      <c r="E38" s="17">
        <f>B38*(D38/12)</f>
        <v/>
      </c>
      <c r="F38" s="17">
        <f>C38+E38</f>
        <v/>
      </c>
      <c r="G38" s="17">
        <f>MAX(0, B38-C38)</f>
        <v/>
      </c>
    </row>
    <row r="39">
      <c r="A39" s="19" t="n">
        <v>36</v>
      </c>
      <c r="B39" s="20">
        <f>G38</f>
        <v/>
      </c>
      <c r="C39" s="20">
        <f>THAM_DINH_KHOAN_VAY!$B$6/THAM_DINH_KHOAN_VAY!$B$7</f>
        <v/>
      </c>
      <c r="D39" s="21">
        <f>THAM_DINH_KHOAN_VAY!$B$9</f>
        <v/>
      </c>
      <c r="E39" s="20">
        <f>B39*(D39/12)</f>
        <v/>
      </c>
      <c r="F39" s="20">
        <f>C39+E39</f>
        <v/>
      </c>
      <c r="G39" s="20">
        <f>MAX(0, B39-C39)</f>
        <v/>
      </c>
    </row>
    <row r="40">
      <c r="A40" s="16" t="n">
        <v>37</v>
      </c>
      <c r="B40" s="17">
        <f>G39</f>
        <v/>
      </c>
      <c r="C40" s="17">
        <f>THAM_DINH_KHOAN_VAY!$B$6/THAM_DINH_KHOAN_VAY!$B$7</f>
        <v/>
      </c>
      <c r="D40" s="18">
        <f>THAM_DINH_KHOAN_VAY!$B$9</f>
        <v/>
      </c>
      <c r="E40" s="17">
        <f>B40*(D40/12)</f>
        <v/>
      </c>
      <c r="F40" s="17">
        <f>C40+E40</f>
        <v/>
      </c>
      <c r="G40" s="17">
        <f>MAX(0, B40-C40)</f>
        <v/>
      </c>
    </row>
    <row r="41">
      <c r="A41" s="19" t="n">
        <v>38</v>
      </c>
      <c r="B41" s="20">
        <f>G40</f>
        <v/>
      </c>
      <c r="C41" s="20">
        <f>THAM_DINH_KHOAN_VAY!$B$6/THAM_DINH_KHOAN_VAY!$B$7</f>
        <v/>
      </c>
      <c r="D41" s="21">
        <f>THAM_DINH_KHOAN_VAY!$B$9</f>
        <v/>
      </c>
      <c r="E41" s="20">
        <f>B41*(D41/12)</f>
        <v/>
      </c>
      <c r="F41" s="20">
        <f>C41+E41</f>
        <v/>
      </c>
      <c r="G41" s="20">
        <f>MAX(0, B41-C41)</f>
        <v/>
      </c>
    </row>
    <row r="42">
      <c r="A42" s="16" t="n">
        <v>39</v>
      </c>
      <c r="B42" s="17">
        <f>G41</f>
        <v/>
      </c>
      <c r="C42" s="17">
        <f>THAM_DINH_KHOAN_VAY!$B$6/THAM_DINH_KHOAN_VAY!$B$7</f>
        <v/>
      </c>
      <c r="D42" s="18">
        <f>THAM_DINH_KHOAN_VAY!$B$9</f>
        <v/>
      </c>
      <c r="E42" s="17">
        <f>B42*(D42/12)</f>
        <v/>
      </c>
      <c r="F42" s="17">
        <f>C42+E42</f>
        <v/>
      </c>
      <c r="G42" s="17">
        <f>MAX(0, B42-C42)</f>
        <v/>
      </c>
    </row>
    <row r="43">
      <c r="A43" s="19" t="n">
        <v>40</v>
      </c>
      <c r="B43" s="20">
        <f>G42</f>
        <v/>
      </c>
      <c r="C43" s="20">
        <f>THAM_DINH_KHOAN_VAY!$B$6/THAM_DINH_KHOAN_VAY!$B$7</f>
        <v/>
      </c>
      <c r="D43" s="21">
        <f>THAM_DINH_KHOAN_VAY!$B$9</f>
        <v/>
      </c>
      <c r="E43" s="20">
        <f>B43*(D43/12)</f>
        <v/>
      </c>
      <c r="F43" s="20">
        <f>C43+E43</f>
        <v/>
      </c>
      <c r="G43" s="20">
        <f>MAX(0, B43-C43)</f>
        <v/>
      </c>
    </row>
    <row r="44">
      <c r="A44" s="16" t="n">
        <v>41</v>
      </c>
      <c r="B44" s="17">
        <f>G43</f>
        <v/>
      </c>
      <c r="C44" s="17">
        <f>THAM_DINH_KHOAN_VAY!$B$6/THAM_DINH_KHOAN_VAY!$B$7</f>
        <v/>
      </c>
      <c r="D44" s="18">
        <f>THAM_DINH_KHOAN_VAY!$B$9</f>
        <v/>
      </c>
      <c r="E44" s="17">
        <f>B44*(D44/12)</f>
        <v/>
      </c>
      <c r="F44" s="17">
        <f>C44+E44</f>
        <v/>
      </c>
      <c r="G44" s="17">
        <f>MAX(0, B44-C44)</f>
        <v/>
      </c>
    </row>
    <row r="45">
      <c r="A45" s="19" t="n">
        <v>42</v>
      </c>
      <c r="B45" s="20">
        <f>G44</f>
        <v/>
      </c>
      <c r="C45" s="20">
        <f>THAM_DINH_KHOAN_VAY!$B$6/THAM_DINH_KHOAN_VAY!$B$7</f>
        <v/>
      </c>
      <c r="D45" s="21">
        <f>THAM_DINH_KHOAN_VAY!$B$9</f>
        <v/>
      </c>
      <c r="E45" s="20">
        <f>B45*(D45/12)</f>
        <v/>
      </c>
      <c r="F45" s="20">
        <f>C45+E45</f>
        <v/>
      </c>
      <c r="G45" s="20">
        <f>MAX(0, B45-C45)</f>
        <v/>
      </c>
    </row>
    <row r="46">
      <c r="A46" s="16" t="n">
        <v>43</v>
      </c>
      <c r="B46" s="17">
        <f>G45</f>
        <v/>
      </c>
      <c r="C46" s="17">
        <f>THAM_DINH_KHOAN_VAY!$B$6/THAM_DINH_KHOAN_VAY!$B$7</f>
        <v/>
      </c>
      <c r="D46" s="18">
        <f>THAM_DINH_KHOAN_VAY!$B$9</f>
        <v/>
      </c>
      <c r="E46" s="17">
        <f>B46*(D46/12)</f>
        <v/>
      </c>
      <c r="F46" s="17">
        <f>C46+E46</f>
        <v/>
      </c>
      <c r="G46" s="17">
        <f>MAX(0, B46-C46)</f>
        <v/>
      </c>
    </row>
    <row r="47">
      <c r="A47" s="19" t="n">
        <v>44</v>
      </c>
      <c r="B47" s="20">
        <f>G46</f>
        <v/>
      </c>
      <c r="C47" s="20">
        <f>THAM_DINH_KHOAN_VAY!$B$6/THAM_DINH_KHOAN_VAY!$B$7</f>
        <v/>
      </c>
      <c r="D47" s="21">
        <f>THAM_DINH_KHOAN_VAY!$B$9</f>
        <v/>
      </c>
      <c r="E47" s="20">
        <f>B47*(D47/12)</f>
        <v/>
      </c>
      <c r="F47" s="20">
        <f>C47+E47</f>
        <v/>
      </c>
      <c r="G47" s="20">
        <f>MAX(0, B47-C47)</f>
        <v/>
      </c>
    </row>
    <row r="48">
      <c r="A48" s="16" t="n">
        <v>45</v>
      </c>
      <c r="B48" s="17">
        <f>G47</f>
        <v/>
      </c>
      <c r="C48" s="17">
        <f>THAM_DINH_KHOAN_VAY!$B$6/THAM_DINH_KHOAN_VAY!$B$7</f>
        <v/>
      </c>
      <c r="D48" s="18">
        <f>THAM_DINH_KHOAN_VAY!$B$9</f>
        <v/>
      </c>
      <c r="E48" s="17">
        <f>B48*(D48/12)</f>
        <v/>
      </c>
      <c r="F48" s="17">
        <f>C48+E48</f>
        <v/>
      </c>
      <c r="G48" s="17">
        <f>MAX(0, B48-C48)</f>
        <v/>
      </c>
    </row>
    <row r="49">
      <c r="A49" s="19" t="n">
        <v>46</v>
      </c>
      <c r="B49" s="20">
        <f>G48</f>
        <v/>
      </c>
      <c r="C49" s="20">
        <f>THAM_DINH_KHOAN_VAY!$B$6/THAM_DINH_KHOAN_VAY!$B$7</f>
        <v/>
      </c>
      <c r="D49" s="21">
        <f>THAM_DINH_KHOAN_VAY!$B$9</f>
        <v/>
      </c>
      <c r="E49" s="20">
        <f>B49*(D49/12)</f>
        <v/>
      </c>
      <c r="F49" s="20">
        <f>C49+E49</f>
        <v/>
      </c>
      <c r="G49" s="20">
        <f>MAX(0, B49-C49)</f>
        <v/>
      </c>
    </row>
    <row r="50">
      <c r="A50" s="16" t="n">
        <v>47</v>
      </c>
      <c r="B50" s="17">
        <f>G49</f>
        <v/>
      </c>
      <c r="C50" s="17">
        <f>THAM_DINH_KHOAN_VAY!$B$6/THAM_DINH_KHOAN_VAY!$B$7</f>
        <v/>
      </c>
      <c r="D50" s="18">
        <f>THAM_DINH_KHOAN_VAY!$B$9</f>
        <v/>
      </c>
      <c r="E50" s="17">
        <f>B50*(D50/12)</f>
        <v/>
      </c>
      <c r="F50" s="17">
        <f>C50+E50</f>
        <v/>
      </c>
      <c r="G50" s="17">
        <f>MAX(0, B50-C50)</f>
        <v/>
      </c>
    </row>
    <row r="51">
      <c r="A51" s="19" t="n">
        <v>48</v>
      </c>
      <c r="B51" s="20">
        <f>G50</f>
        <v/>
      </c>
      <c r="C51" s="20">
        <f>THAM_DINH_KHOAN_VAY!$B$6/THAM_DINH_KHOAN_VAY!$B$7</f>
        <v/>
      </c>
      <c r="D51" s="21">
        <f>THAM_DINH_KHOAN_VAY!$B$9</f>
        <v/>
      </c>
      <c r="E51" s="20">
        <f>B51*(D51/12)</f>
        <v/>
      </c>
      <c r="F51" s="20">
        <f>C51+E51</f>
        <v/>
      </c>
      <c r="G51" s="20">
        <f>MAX(0, B51-C51)</f>
        <v/>
      </c>
    </row>
    <row r="52">
      <c r="A52" s="16" t="n">
        <v>49</v>
      </c>
      <c r="B52" s="17">
        <f>G51</f>
        <v/>
      </c>
      <c r="C52" s="17">
        <f>THAM_DINH_KHOAN_VAY!$B$6/THAM_DINH_KHOAN_VAY!$B$7</f>
        <v/>
      </c>
      <c r="D52" s="18">
        <f>THAM_DINH_KHOAN_VAY!$B$9</f>
        <v/>
      </c>
      <c r="E52" s="17">
        <f>B52*(D52/12)</f>
        <v/>
      </c>
      <c r="F52" s="17">
        <f>C52+E52</f>
        <v/>
      </c>
      <c r="G52" s="17">
        <f>MAX(0, B52-C52)</f>
        <v/>
      </c>
    </row>
    <row r="53">
      <c r="A53" s="19" t="n">
        <v>50</v>
      </c>
      <c r="B53" s="20">
        <f>G52</f>
        <v/>
      </c>
      <c r="C53" s="20">
        <f>THAM_DINH_KHOAN_VAY!$B$6/THAM_DINH_KHOAN_VAY!$B$7</f>
        <v/>
      </c>
      <c r="D53" s="21">
        <f>THAM_DINH_KHOAN_VAY!$B$9</f>
        <v/>
      </c>
      <c r="E53" s="20">
        <f>B53*(D53/12)</f>
        <v/>
      </c>
      <c r="F53" s="20">
        <f>C53+E53</f>
        <v/>
      </c>
      <c r="G53" s="20">
        <f>MAX(0, B53-C53)</f>
        <v/>
      </c>
    </row>
    <row r="54">
      <c r="A54" s="16" t="n">
        <v>51</v>
      </c>
      <c r="B54" s="17">
        <f>G53</f>
        <v/>
      </c>
      <c r="C54" s="17">
        <f>THAM_DINH_KHOAN_VAY!$B$6/THAM_DINH_KHOAN_VAY!$B$7</f>
        <v/>
      </c>
      <c r="D54" s="18">
        <f>THAM_DINH_KHOAN_VAY!$B$9</f>
        <v/>
      </c>
      <c r="E54" s="17">
        <f>B54*(D54/12)</f>
        <v/>
      </c>
      <c r="F54" s="17">
        <f>C54+E54</f>
        <v/>
      </c>
      <c r="G54" s="17">
        <f>MAX(0, B54-C54)</f>
        <v/>
      </c>
    </row>
    <row r="55">
      <c r="A55" s="19" t="n">
        <v>52</v>
      </c>
      <c r="B55" s="20">
        <f>G54</f>
        <v/>
      </c>
      <c r="C55" s="20">
        <f>THAM_DINH_KHOAN_VAY!$B$6/THAM_DINH_KHOAN_VAY!$B$7</f>
        <v/>
      </c>
      <c r="D55" s="21">
        <f>THAM_DINH_KHOAN_VAY!$B$9</f>
        <v/>
      </c>
      <c r="E55" s="20">
        <f>B55*(D55/12)</f>
        <v/>
      </c>
      <c r="F55" s="20">
        <f>C55+E55</f>
        <v/>
      </c>
      <c r="G55" s="20">
        <f>MAX(0, B55-C55)</f>
        <v/>
      </c>
    </row>
    <row r="56">
      <c r="A56" s="16" t="n">
        <v>53</v>
      </c>
      <c r="B56" s="17">
        <f>G55</f>
        <v/>
      </c>
      <c r="C56" s="17">
        <f>THAM_DINH_KHOAN_VAY!$B$6/THAM_DINH_KHOAN_VAY!$B$7</f>
        <v/>
      </c>
      <c r="D56" s="18">
        <f>THAM_DINH_KHOAN_VAY!$B$9</f>
        <v/>
      </c>
      <c r="E56" s="17">
        <f>B56*(D56/12)</f>
        <v/>
      </c>
      <c r="F56" s="17">
        <f>C56+E56</f>
        <v/>
      </c>
      <c r="G56" s="17">
        <f>MAX(0, B56-C56)</f>
        <v/>
      </c>
    </row>
    <row r="57">
      <c r="A57" s="19" t="n">
        <v>54</v>
      </c>
      <c r="B57" s="20">
        <f>G56</f>
        <v/>
      </c>
      <c r="C57" s="20">
        <f>THAM_DINH_KHOAN_VAY!$B$6/THAM_DINH_KHOAN_VAY!$B$7</f>
        <v/>
      </c>
      <c r="D57" s="21">
        <f>THAM_DINH_KHOAN_VAY!$B$9</f>
        <v/>
      </c>
      <c r="E57" s="20">
        <f>B57*(D57/12)</f>
        <v/>
      </c>
      <c r="F57" s="20">
        <f>C57+E57</f>
        <v/>
      </c>
      <c r="G57" s="20">
        <f>MAX(0, B57-C57)</f>
        <v/>
      </c>
    </row>
    <row r="58">
      <c r="A58" s="16" t="n">
        <v>55</v>
      </c>
      <c r="B58" s="17">
        <f>G57</f>
        <v/>
      </c>
      <c r="C58" s="17">
        <f>THAM_DINH_KHOAN_VAY!$B$6/THAM_DINH_KHOAN_VAY!$B$7</f>
        <v/>
      </c>
      <c r="D58" s="18">
        <f>THAM_DINH_KHOAN_VAY!$B$9</f>
        <v/>
      </c>
      <c r="E58" s="17">
        <f>B58*(D58/12)</f>
        <v/>
      </c>
      <c r="F58" s="17">
        <f>C58+E58</f>
        <v/>
      </c>
      <c r="G58" s="17">
        <f>MAX(0, B58-C58)</f>
        <v/>
      </c>
    </row>
    <row r="59">
      <c r="A59" s="19" t="n">
        <v>56</v>
      </c>
      <c r="B59" s="20">
        <f>G58</f>
        <v/>
      </c>
      <c r="C59" s="20">
        <f>THAM_DINH_KHOAN_VAY!$B$6/THAM_DINH_KHOAN_VAY!$B$7</f>
        <v/>
      </c>
      <c r="D59" s="21">
        <f>THAM_DINH_KHOAN_VAY!$B$9</f>
        <v/>
      </c>
      <c r="E59" s="20">
        <f>B59*(D59/12)</f>
        <v/>
      </c>
      <c r="F59" s="20">
        <f>C59+E59</f>
        <v/>
      </c>
      <c r="G59" s="20">
        <f>MAX(0, B59-C59)</f>
        <v/>
      </c>
    </row>
    <row r="60">
      <c r="A60" s="16" t="n">
        <v>57</v>
      </c>
      <c r="B60" s="17">
        <f>G59</f>
        <v/>
      </c>
      <c r="C60" s="17">
        <f>THAM_DINH_KHOAN_VAY!$B$6/THAM_DINH_KHOAN_VAY!$B$7</f>
        <v/>
      </c>
      <c r="D60" s="18">
        <f>THAM_DINH_KHOAN_VAY!$B$9</f>
        <v/>
      </c>
      <c r="E60" s="17">
        <f>B60*(D60/12)</f>
        <v/>
      </c>
      <c r="F60" s="17">
        <f>C60+E60</f>
        <v/>
      </c>
      <c r="G60" s="17">
        <f>MAX(0, B60-C60)</f>
        <v/>
      </c>
    </row>
    <row r="61">
      <c r="A61" s="19" t="n">
        <v>58</v>
      </c>
      <c r="B61" s="20">
        <f>G60</f>
        <v/>
      </c>
      <c r="C61" s="20">
        <f>THAM_DINH_KHOAN_VAY!$B$6/THAM_DINH_KHOAN_VAY!$B$7</f>
        <v/>
      </c>
      <c r="D61" s="21">
        <f>THAM_DINH_KHOAN_VAY!$B$9</f>
        <v/>
      </c>
      <c r="E61" s="20">
        <f>B61*(D61/12)</f>
        <v/>
      </c>
      <c r="F61" s="20">
        <f>C61+E61</f>
        <v/>
      </c>
      <c r="G61" s="20">
        <f>MAX(0, B61-C61)</f>
        <v/>
      </c>
    </row>
    <row r="62">
      <c r="A62" s="16" t="n">
        <v>59</v>
      </c>
      <c r="B62" s="17">
        <f>G61</f>
        <v/>
      </c>
      <c r="C62" s="17">
        <f>THAM_DINH_KHOAN_VAY!$B$6/THAM_DINH_KHOAN_VAY!$B$7</f>
        <v/>
      </c>
      <c r="D62" s="18">
        <f>THAM_DINH_KHOAN_VAY!$B$9</f>
        <v/>
      </c>
      <c r="E62" s="17">
        <f>B62*(D62/12)</f>
        <v/>
      </c>
      <c r="F62" s="17">
        <f>C62+E62</f>
        <v/>
      </c>
      <c r="G62" s="17">
        <f>MAX(0, B62-C62)</f>
        <v/>
      </c>
    </row>
    <row r="63">
      <c r="A63" s="19" t="n">
        <v>60</v>
      </c>
      <c r="B63" s="20">
        <f>G62</f>
        <v/>
      </c>
      <c r="C63" s="20">
        <f>THAM_DINH_KHOAN_VAY!$B$6/THAM_DINH_KHOAN_VAY!$B$7</f>
        <v/>
      </c>
      <c r="D63" s="21">
        <f>THAM_DINH_KHOAN_VAY!$B$9</f>
        <v/>
      </c>
      <c r="E63" s="20">
        <f>B63*(D63/12)</f>
        <v/>
      </c>
      <c r="F63" s="20">
        <f>C63+E63</f>
        <v/>
      </c>
      <c r="G63" s="20">
        <f>MAX(0, B63-C63)</f>
        <v/>
      </c>
    </row>
    <row r="64">
      <c r="A64" s="16" t="n">
        <v>61</v>
      </c>
      <c r="B64" s="17">
        <f>G63</f>
        <v/>
      </c>
      <c r="C64" s="17">
        <f>THAM_DINH_KHOAN_VAY!$B$6/THAM_DINH_KHOAN_VAY!$B$7</f>
        <v/>
      </c>
      <c r="D64" s="18">
        <f>THAM_DINH_KHOAN_VAY!$B$9</f>
        <v/>
      </c>
      <c r="E64" s="17">
        <f>B64*(D64/12)</f>
        <v/>
      </c>
      <c r="F64" s="17">
        <f>C64+E64</f>
        <v/>
      </c>
      <c r="G64" s="17">
        <f>MAX(0, B64-C64)</f>
        <v/>
      </c>
    </row>
    <row r="65">
      <c r="A65" s="19" t="n">
        <v>62</v>
      </c>
      <c r="B65" s="20">
        <f>G64</f>
        <v/>
      </c>
      <c r="C65" s="20">
        <f>THAM_DINH_KHOAN_VAY!$B$6/THAM_DINH_KHOAN_VAY!$B$7</f>
        <v/>
      </c>
      <c r="D65" s="21">
        <f>THAM_DINH_KHOAN_VAY!$B$9</f>
        <v/>
      </c>
      <c r="E65" s="20">
        <f>B65*(D65/12)</f>
        <v/>
      </c>
      <c r="F65" s="20">
        <f>C65+E65</f>
        <v/>
      </c>
      <c r="G65" s="20">
        <f>MAX(0, B65-C65)</f>
        <v/>
      </c>
    </row>
    <row r="66">
      <c r="A66" s="16" t="n">
        <v>63</v>
      </c>
      <c r="B66" s="17">
        <f>G65</f>
        <v/>
      </c>
      <c r="C66" s="17">
        <f>THAM_DINH_KHOAN_VAY!$B$6/THAM_DINH_KHOAN_VAY!$B$7</f>
        <v/>
      </c>
      <c r="D66" s="18">
        <f>THAM_DINH_KHOAN_VAY!$B$9</f>
        <v/>
      </c>
      <c r="E66" s="17">
        <f>B66*(D66/12)</f>
        <v/>
      </c>
      <c r="F66" s="17">
        <f>C66+E66</f>
        <v/>
      </c>
      <c r="G66" s="17">
        <f>MAX(0, B66-C66)</f>
        <v/>
      </c>
    </row>
    <row r="67">
      <c r="A67" s="19" t="n">
        <v>64</v>
      </c>
      <c r="B67" s="20">
        <f>G66</f>
        <v/>
      </c>
      <c r="C67" s="20">
        <f>THAM_DINH_KHOAN_VAY!$B$6/THAM_DINH_KHOAN_VAY!$B$7</f>
        <v/>
      </c>
      <c r="D67" s="21">
        <f>THAM_DINH_KHOAN_VAY!$B$9</f>
        <v/>
      </c>
      <c r="E67" s="20">
        <f>B67*(D67/12)</f>
        <v/>
      </c>
      <c r="F67" s="20">
        <f>C67+E67</f>
        <v/>
      </c>
      <c r="G67" s="20">
        <f>MAX(0, B67-C67)</f>
        <v/>
      </c>
    </row>
    <row r="68">
      <c r="A68" s="16" t="n">
        <v>65</v>
      </c>
      <c r="B68" s="17">
        <f>G67</f>
        <v/>
      </c>
      <c r="C68" s="17">
        <f>THAM_DINH_KHOAN_VAY!$B$6/THAM_DINH_KHOAN_VAY!$B$7</f>
        <v/>
      </c>
      <c r="D68" s="18">
        <f>THAM_DINH_KHOAN_VAY!$B$9</f>
        <v/>
      </c>
      <c r="E68" s="17">
        <f>B68*(D68/12)</f>
        <v/>
      </c>
      <c r="F68" s="17">
        <f>C68+E68</f>
        <v/>
      </c>
      <c r="G68" s="17">
        <f>MAX(0, B68-C68)</f>
        <v/>
      </c>
    </row>
    <row r="69">
      <c r="A69" s="19" t="n">
        <v>66</v>
      </c>
      <c r="B69" s="20">
        <f>G68</f>
        <v/>
      </c>
      <c r="C69" s="20">
        <f>THAM_DINH_KHOAN_VAY!$B$6/THAM_DINH_KHOAN_VAY!$B$7</f>
        <v/>
      </c>
      <c r="D69" s="21">
        <f>THAM_DINH_KHOAN_VAY!$B$9</f>
        <v/>
      </c>
      <c r="E69" s="20">
        <f>B69*(D69/12)</f>
        <v/>
      </c>
      <c r="F69" s="20">
        <f>C69+E69</f>
        <v/>
      </c>
      <c r="G69" s="20">
        <f>MAX(0, B69-C69)</f>
        <v/>
      </c>
    </row>
    <row r="70">
      <c r="A70" s="16" t="n">
        <v>67</v>
      </c>
      <c r="B70" s="17">
        <f>G69</f>
        <v/>
      </c>
      <c r="C70" s="17">
        <f>THAM_DINH_KHOAN_VAY!$B$6/THAM_DINH_KHOAN_VAY!$B$7</f>
        <v/>
      </c>
      <c r="D70" s="18">
        <f>THAM_DINH_KHOAN_VAY!$B$9</f>
        <v/>
      </c>
      <c r="E70" s="17">
        <f>B70*(D70/12)</f>
        <v/>
      </c>
      <c r="F70" s="17">
        <f>C70+E70</f>
        <v/>
      </c>
      <c r="G70" s="17">
        <f>MAX(0, B70-C70)</f>
        <v/>
      </c>
    </row>
    <row r="71">
      <c r="A71" s="19" t="n">
        <v>68</v>
      </c>
      <c r="B71" s="20">
        <f>G70</f>
        <v/>
      </c>
      <c r="C71" s="20">
        <f>THAM_DINH_KHOAN_VAY!$B$6/THAM_DINH_KHOAN_VAY!$B$7</f>
        <v/>
      </c>
      <c r="D71" s="21">
        <f>THAM_DINH_KHOAN_VAY!$B$9</f>
        <v/>
      </c>
      <c r="E71" s="20">
        <f>B71*(D71/12)</f>
        <v/>
      </c>
      <c r="F71" s="20">
        <f>C71+E71</f>
        <v/>
      </c>
      <c r="G71" s="20">
        <f>MAX(0, B71-C71)</f>
        <v/>
      </c>
    </row>
    <row r="72">
      <c r="A72" s="16" t="n">
        <v>69</v>
      </c>
      <c r="B72" s="17">
        <f>G71</f>
        <v/>
      </c>
      <c r="C72" s="17">
        <f>THAM_DINH_KHOAN_VAY!$B$6/THAM_DINH_KHOAN_VAY!$B$7</f>
        <v/>
      </c>
      <c r="D72" s="18">
        <f>THAM_DINH_KHOAN_VAY!$B$9</f>
        <v/>
      </c>
      <c r="E72" s="17">
        <f>B72*(D72/12)</f>
        <v/>
      </c>
      <c r="F72" s="17">
        <f>C72+E72</f>
        <v/>
      </c>
      <c r="G72" s="17">
        <f>MAX(0, B72-C72)</f>
        <v/>
      </c>
    </row>
    <row r="73">
      <c r="A73" s="19" t="n">
        <v>70</v>
      </c>
      <c r="B73" s="20">
        <f>G72</f>
        <v/>
      </c>
      <c r="C73" s="20">
        <f>THAM_DINH_KHOAN_VAY!$B$6/THAM_DINH_KHOAN_VAY!$B$7</f>
        <v/>
      </c>
      <c r="D73" s="21">
        <f>THAM_DINH_KHOAN_VAY!$B$9</f>
        <v/>
      </c>
      <c r="E73" s="20">
        <f>B73*(D73/12)</f>
        <v/>
      </c>
      <c r="F73" s="20">
        <f>C73+E73</f>
        <v/>
      </c>
      <c r="G73" s="20">
        <f>MAX(0, B73-C73)</f>
        <v/>
      </c>
    </row>
    <row r="74">
      <c r="A74" s="16" t="n">
        <v>71</v>
      </c>
      <c r="B74" s="17">
        <f>G73</f>
        <v/>
      </c>
      <c r="C74" s="17">
        <f>THAM_DINH_KHOAN_VAY!$B$6/THAM_DINH_KHOAN_VAY!$B$7</f>
        <v/>
      </c>
      <c r="D74" s="18">
        <f>THAM_DINH_KHOAN_VAY!$B$9</f>
        <v/>
      </c>
      <c r="E74" s="17">
        <f>B74*(D74/12)</f>
        <v/>
      </c>
      <c r="F74" s="17">
        <f>C74+E74</f>
        <v/>
      </c>
      <c r="G74" s="17">
        <f>MAX(0, B74-C74)</f>
        <v/>
      </c>
    </row>
    <row r="75">
      <c r="A75" s="19" t="n">
        <v>72</v>
      </c>
      <c r="B75" s="20">
        <f>G74</f>
        <v/>
      </c>
      <c r="C75" s="20">
        <f>THAM_DINH_KHOAN_VAY!$B$6/THAM_DINH_KHOAN_VAY!$B$7</f>
        <v/>
      </c>
      <c r="D75" s="21">
        <f>THAM_DINH_KHOAN_VAY!$B$9</f>
        <v/>
      </c>
      <c r="E75" s="20">
        <f>B75*(D75/12)</f>
        <v/>
      </c>
      <c r="F75" s="20">
        <f>C75+E75</f>
        <v/>
      </c>
      <c r="G75" s="20">
        <f>MAX(0, B75-C75)</f>
        <v/>
      </c>
    </row>
    <row r="76">
      <c r="A76" s="16" t="n">
        <v>73</v>
      </c>
      <c r="B76" s="17">
        <f>G75</f>
        <v/>
      </c>
      <c r="C76" s="17">
        <f>THAM_DINH_KHOAN_VAY!$B$6/THAM_DINH_KHOAN_VAY!$B$7</f>
        <v/>
      </c>
      <c r="D76" s="18">
        <f>THAM_DINH_KHOAN_VAY!$B$9</f>
        <v/>
      </c>
      <c r="E76" s="17">
        <f>B76*(D76/12)</f>
        <v/>
      </c>
      <c r="F76" s="17">
        <f>C76+E76</f>
        <v/>
      </c>
      <c r="G76" s="17">
        <f>MAX(0, B76-C76)</f>
        <v/>
      </c>
    </row>
    <row r="77">
      <c r="A77" s="19" t="n">
        <v>74</v>
      </c>
      <c r="B77" s="20">
        <f>G76</f>
        <v/>
      </c>
      <c r="C77" s="20">
        <f>THAM_DINH_KHOAN_VAY!$B$6/THAM_DINH_KHOAN_VAY!$B$7</f>
        <v/>
      </c>
      <c r="D77" s="21">
        <f>THAM_DINH_KHOAN_VAY!$B$9</f>
        <v/>
      </c>
      <c r="E77" s="20">
        <f>B77*(D77/12)</f>
        <v/>
      </c>
      <c r="F77" s="20">
        <f>C77+E77</f>
        <v/>
      </c>
      <c r="G77" s="20">
        <f>MAX(0, B77-C77)</f>
        <v/>
      </c>
    </row>
    <row r="78">
      <c r="A78" s="16" t="n">
        <v>75</v>
      </c>
      <c r="B78" s="17">
        <f>G77</f>
        <v/>
      </c>
      <c r="C78" s="17">
        <f>THAM_DINH_KHOAN_VAY!$B$6/THAM_DINH_KHOAN_VAY!$B$7</f>
        <v/>
      </c>
      <c r="D78" s="18">
        <f>THAM_DINH_KHOAN_VAY!$B$9</f>
        <v/>
      </c>
      <c r="E78" s="17">
        <f>B78*(D78/12)</f>
        <v/>
      </c>
      <c r="F78" s="17">
        <f>C78+E78</f>
        <v/>
      </c>
      <c r="G78" s="17">
        <f>MAX(0, B78-C78)</f>
        <v/>
      </c>
    </row>
    <row r="79">
      <c r="A79" s="19" t="n">
        <v>76</v>
      </c>
      <c r="B79" s="20">
        <f>G78</f>
        <v/>
      </c>
      <c r="C79" s="20">
        <f>THAM_DINH_KHOAN_VAY!$B$6/THAM_DINH_KHOAN_VAY!$B$7</f>
        <v/>
      </c>
      <c r="D79" s="21">
        <f>THAM_DINH_KHOAN_VAY!$B$9</f>
        <v/>
      </c>
      <c r="E79" s="20">
        <f>B79*(D79/12)</f>
        <v/>
      </c>
      <c r="F79" s="20">
        <f>C79+E79</f>
        <v/>
      </c>
      <c r="G79" s="20">
        <f>MAX(0, B79-C79)</f>
        <v/>
      </c>
    </row>
    <row r="80">
      <c r="A80" s="16" t="n">
        <v>77</v>
      </c>
      <c r="B80" s="17">
        <f>G79</f>
        <v/>
      </c>
      <c r="C80" s="17">
        <f>THAM_DINH_KHOAN_VAY!$B$6/THAM_DINH_KHOAN_VAY!$B$7</f>
        <v/>
      </c>
      <c r="D80" s="18">
        <f>THAM_DINH_KHOAN_VAY!$B$9</f>
        <v/>
      </c>
      <c r="E80" s="17">
        <f>B80*(D80/12)</f>
        <v/>
      </c>
      <c r="F80" s="17">
        <f>C80+E80</f>
        <v/>
      </c>
      <c r="G80" s="17">
        <f>MAX(0, B80-C80)</f>
        <v/>
      </c>
    </row>
    <row r="81">
      <c r="A81" s="19" t="n">
        <v>78</v>
      </c>
      <c r="B81" s="20">
        <f>G80</f>
        <v/>
      </c>
      <c r="C81" s="20">
        <f>THAM_DINH_KHOAN_VAY!$B$6/THAM_DINH_KHOAN_VAY!$B$7</f>
        <v/>
      </c>
      <c r="D81" s="21">
        <f>THAM_DINH_KHOAN_VAY!$B$9</f>
        <v/>
      </c>
      <c r="E81" s="20">
        <f>B81*(D81/12)</f>
        <v/>
      </c>
      <c r="F81" s="20">
        <f>C81+E81</f>
        <v/>
      </c>
      <c r="G81" s="20">
        <f>MAX(0, B81-C81)</f>
        <v/>
      </c>
    </row>
    <row r="82">
      <c r="A82" s="16" t="n">
        <v>79</v>
      </c>
      <c r="B82" s="17">
        <f>G81</f>
        <v/>
      </c>
      <c r="C82" s="17">
        <f>THAM_DINH_KHOAN_VAY!$B$6/THAM_DINH_KHOAN_VAY!$B$7</f>
        <v/>
      </c>
      <c r="D82" s="18">
        <f>THAM_DINH_KHOAN_VAY!$B$9</f>
        <v/>
      </c>
      <c r="E82" s="17">
        <f>B82*(D82/12)</f>
        <v/>
      </c>
      <c r="F82" s="17">
        <f>C82+E82</f>
        <v/>
      </c>
      <c r="G82" s="17">
        <f>MAX(0, B82-C82)</f>
        <v/>
      </c>
    </row>
    <row r="83">
      <c r="A83" s="19" t="n">
        <v>80</v>
      </c>
      <c r="B83" s="20">
        <f>G82</f>
        <v/>
      </c>
      <c r="C83" s="20">
        <f>THAM_DINH_KHOAN_VAY!$B$6/THAM_DINH_KHOAN_VAY!$B$7</f>
        <v/>
      </c>
      <c r="D83" s="21">
        <f>THAM_DINH_KHOAN_VAY!$B$9</f>
        <v/>
      </c>
      <c r="E83" s="20">
        <f>B83*(D83/12)</f>
        <v/>
      </c>
      <c r="F83" s="20">
        <f>C83+E83</f>
        <v/>
      </c>
      <c r="G83" s="20">
        <f>MAX(0, B83-C83)</f>
        <v/>
      </c>
    </row>
    <row r="84">
      <c r="A84" s="16" t="n">
        <v>81</v>
      </c>
      <c r="B84" s="17">
        <f>G83</f>
        <v/>
      </c>
      <c r="C84" s="17">
        <f>THAM_DINH_KHOAN_VAY!$B$6/THAM_DINH_KHOAN_VAY!$B$7</f>
        <v/>
      </c>
      <c r="D84" s="18">
        <f>THAM_DINH_KHOAN_VAY!$B$9</f>
        <v/>
      </c>
      <c r="E84" s="17">
        <f>B84*(D84/12)</f>
        <v/>
      </c>
      <c r="F84" s="17">
        <f>C84+E84</f>
        <v/>
      </c>
      <c r="G84" s="17">
        <f>MAX(0, B84-C84)</f>
        <v/>
      </c>
    </row>
    <row r="85">
      <c r="A85" s="19" t="n">
        <v>82</v>
      </c>
      <c r="B85" s="20">
        <f>G84</f>
        <v/>
      </c>
      <c r="C85" s="20">
        <f>THAM_DINH_KHOAN_VAY!$B$6/THAM_DINH_KHOAN_VAY!$B$7</f>
        <v/>
      </c>
      <c r="D85" s="21">
        <f>THAM_DINH_KHOAN_VAY!$B$9</f>
        <v/>
      </c>
      <c r="E85" s="20">
        <f>B85*(D85/12)</f>
        <v/>
      </c>
      <c r="F85" s="20">
        <f>C85+E85</f>
        <v/>
      </c>
      <c r="G85" s="20">
        <f>MAX(0, B85-C85)</f>
        <v/>
      </c>
    </row>
    <row r="86">
      <c r="A86" s="16" t="n">
        <v>83</v>
      </c>
      <c r="B86" s="17">
        <f>G85</f>
        <v/>
      </c>
      <c r="C86" s="17">
        <f>THAM_DINH_KHOAN_VAY!$B$6/THAM_DINH_KHOAN_VAY!$B$7</f>
        <v/>
      </c>
      <c r="D86" s="18">
        <f>THAM_DINH_KHOAN_VAY!$B$9</f>
        <v/>
      </c>
      <c r="E86" s="17">
        <f>B86*(D86/12)</f>
        <v/>
      </c>
      <c r="F86" s="17">
        <f>C86+E86</f>
        <v/>
      </c>
      <c r="G86" s="17">
        <f>MAX(0, B86-C86)</f>
        <v/>
      </c>
    </row>
    <row r="87">
      <c r="A87" s="19" t="n">
        <v>84</v>
      </c>
      <c r="B87" s="20">
        <f>G86</f>
        <v/>
      </c>
      <c r="C87" s="20">
        <f>THAM_DINH_KHOAN_VAY!$B$6/THAM_DINH_KHOAN_VAY!$B$7</f>
        <v/>
      </c>
      <c r="D87" s="21">
        <f>THAM_DINH_KHOAN_VAY!$B$9</f>
        <v/>
      </c>
      <c r="E87" s="20">
        <f>B87*(D87/12)</f>
        <v/>
      </c>
      <c r="F87" s="20">
        <f>C87+E87</f>
        <v/>
      </c>
      <c r="G87" s="20">
        <f>MAX(0, B87-C87)</f>
        <v/>
      </c>
    </row>
    <row r="88">
      <c r="A88" s="16" t="n">
        <v>85</v>
      </c>
      <c r="B88" s="17">
        <f>G87</f>
        <v/>
      </c>
      <c r="C88" s="17">
        <f>THAM_DINH_KHOAN_VAY!$B$6/THAM_DINH_KHOAN_VAY!$B$7</f>
        <v/>
      </c>
      <c r="D88" s="18">
        <f>THAM_DINH_KHOAN_VAY!$B$9</f>
        <v/>
      </c>
      <c r="E88" s="17">
        <f>B88*(D88/12)</f>
        <v/>
      </c>
      <c r="F88" s="17">
        <f>C88+E88</f>
        <v/>
      </c>
      <c r="G88" s="17">
        <f>MAX(0, B88-C88)</f>
        <v/>
      </c>
    </row>
    <row r="89">
      <c r="A89" s="19" t="n">
        <v>86</v>
      </c>
      <c r="B89" s="20">
        <f>G88</f>
        <v/>
      </c>
      <c r="C89" s="20">
        <f>THAM_DINH_KHOAN_VAY!$B$6/THAM_DINH_KHOAN_VAY!$B$7</f>
        <v/>
      </c>
      <c r="D89" s="21">
        <f>THAM_DINH_KHOAN_VAY!$B$9</f>
        <v/>
      </c>
      <c r="E89" s="20">
        <f>B89*(D89/12)</f>
        <v/>
      </c>
      <c r="F89" s="20">
        <f>C89+E89</f>
        <v/>
      </c>
      <c r="G89" s="20">
        <f>MAX(0, B89-C89)</f>
        <v/>
      </c>
    </row>
    <row r="90">
      <c r="A90" s="16" t="n">
        <v>87</v>
      </c>
      <c r="B90" s="17">
        <f>G89</f>
        <v/>
      </c>
      <c r="C90" s="17">
        <f>THAM_DINH_KHOAN_VAY!$B$6/THAM_DINH_KHOAN_VAY!$B$7</f>
        <v/>
      </c>
      <c r="D90" s="18">
        <f>THAM_DINH_KHOAN_VAY!$B$9</f>
        <v/>
      </c>
      <c r="E90" s="17">
        <f>B90*(D90/12)</f>
        <v/>
      </c>
      <c r="F90" s="17">
        <f>C90+E90</f>
        <v/>
      </c>
      <c r="G90" s="17">
        <f>MAX(0, B90-C90)</f>
        <v/>
      </c>
    </row>
    <row r="91">
      <c r="A91" s="19" t="n">
        <v>88</v>
      </c>
      <c r="B91" s="20">
        <f>G90</f>
        <v/>
      </c>
      <c r="C91" s="20">
        <f>THAM_DINH_KHOAN_VAY!$B$6/THAM_DINH_KHOAN_VAY!$B$7</f>
        <v/>
      </c>
      <c r="D91" s="21">
        <f>THAM_DINH_KHOAN_VAY!$B$9</f>
        <v/>
      </c>
      <c r="E91" s="20">
        <f>B91*(D91/12)</f>
        <v/>
      </c>
      <c r="F91" s="20">
        <f>C91+E91</f>
        <v/>
      </c>
      <c r="G91" s="20">
        <f>MAX(0, B91-C91)</f>
        <v/>
      </c>
    </row>
    <row r="92">
      <c r="A92" s="16" t="n">
        <v>89</v>
      </c>
      <c r="B92" s="17">
        <f>G91</f>
        <v/>
      </c>
      <c r="C92" s="17">
        <f>THAM_DINH_KHOAN_VAY!$B$6/THAM_DINH_KHOAN_VAY!$B$7</f>
        <v/>
      </c>
      <c r="D92" s="18">
        <f>THAM_DINH_KHOAN_VAY!$B$9</f>
        <v/>
      </c>
      <c r="E92" s="17">
        <f>B92*(D92/12)</f>
        <v/>
      </c>
      <c r="F92" s="17">
        <f>C92+E92</f>
        <v/>
      </c>
      <c r="G92" s="17">
        <f>MAX(0, B92-C92)</f>
        <v/>
      </c>
    </row>
    <row r="93">
      <c r="A93" s="19" t="n">
        <v>90</v>
      </c>
      <c r="B93" s="20">
        <f>G92</f>
        <v/>
      </c>
      <c r="C93" s="20">
        <f>THAM_DINH_KHOAN_VAY!$B$6/THAM_DINH_KHOAN_VAY!$B$7</f>
        <v/>
      </c>
      <c r="D93" s="21">
        <f>THAM_DINH_KHOAN_VAY!$B$9</f>
        <v/>
      </c>
      <c r="E93" s="20">
        <f>B93*(D93/12)</f>
        <v/>
      </c>
      <c r="F93" s="20">
        <f>C93+E93</f>
        <v/>
      </c>
      <c r="G93" s="20">
        <f>MAX(0, B93-C93)</f>
        <v/>
      </c>
    </row>
    <row r="94">
      <c r="A94" s="16" t="n">
        <v>91</v>
      </c>
      <c r="B94" s="17">
        <f>G93</f>
        <v/>
      </c>
      <c r="C94" s="17">
        <f>THAM_DINH_KHOAN_VAY!$B$6/THAM_DINH_KHOAN_VAY!$B$7</f>
        <v/>
      </c>
      <c r="D94" s="18">
        <f>THAM_DINH_KHOAN_VAY!$B$9</f>
        <v/>
      </c>
      <c r="E94" s="17">
        <f>B94*(D94/12)</f>
        <v/>
      </c>
      <c r="F94" s="17">
        <f>C94+E94</f>
        <v/>
      </c>
      <c r="G94" s="17">
        <f>MAX(0, B94-C94)</f>
        <v/>
      </c>
    </row>
    <row r="95">
      <c r="A95" s="19" t="n">
        <v>92</v>
      </c>
      <c r="B95" s="20">
        <f>G94</f>
        <v/>
      </c>
      <c r="C95" s="20">
        <f>THAM_DINH_KHOAN_VAY!$B$6/THAM_DINH_KHOAN_VAY!$B$7</f>
        <v/>
      </c>
      <c r="D95" s="21">
        <f>THAM_DINH_KHOAN_VAY!$B$9</f>
        <v/>
      </c>
      <c r="E95" s="20">
        <f>B95*(D95/12)</f>
        <v/>
      </c>
      <c r="F95" s="20">
        <f>C95+E95</f>
        <v/>
      </c>
      <c r="G95" s="20">
        <f>MAX(0, B95-C95)</f>
        <v/>
      </c>
    </row>
    <row r="96">
      <c r="A96" s="16" t="n">
        <v>93</v>
      </c>
      <c r="B96" s="17">
        <f>G95</f>
        <v/>
      </c>
      <c r="C96" s="17">
        <f>THAM_DINH_KHOAN_VAY!$B$6/THAM_DINH_KHOAN_VAY!$B$7</f>
        <v/>
      </c>
      <c r="D96" s="18">
        <f>THAM_DINH_KHOAN_VAY!$B$9</f>
        <v/>
      </c>
      <c r="E96" s="17">
        <f>B96*(D96/12)</f>
        <v/>
      </c>
      <c r="F96" s="17">
        <f>C96+E96</f>
        <v/>
      </c>
      <c r="G96" s="17">
        <f>MAX(0, B96-C96)</f>
        <v/>
      </c>
    </row>
    <row r="97">
      <c r="A97" s="19" t="n">
        <v>94</v>
      </c>
      <c r="B97" s="20">
        <f>G96</f>
        <v/>
      </c>
      <c r="C97" s="20">
        <f>THAM_DINH_KHOAN_VAY!$B$6/THAM_DINH_KHOAN_VAY!$B$7</f>
        <v/>
      </c>
      <c r="D97" s="21">
        <f>THAM_DINH_KHOAN_VAY!$B$9</f>
        <v/>
      </c>
      <c r="E97" s="20">
        <f>B97*(D97/12)</f>
        <v/>
      </c>
      <c r="F97" s="20">
        <f>C97+E97</f>
        <v/>
      </c>
      <c r="G97" s="20">
        <f>MAX(0, B97-C97)</f>
        <v/>
      </c>
    </row>
    <row r="98">
      <c r="A98" s="16" t="n">
        <v>95</v>
      </c>
      <c r="B98" s="17">
        <f>G97</f>
        <v/>
      </c>
      <c r="C98" s="17">
        <f>THAM_DINH_KHOAN_VAY!$B$6/THAM_DINH_KHOAN_VAY!$B$7</f>
        <v/>
      </c>
      <c r="D98" s="18">
        <f>THAM_DINH_KHOAN_VAY!$B$9</f>
        <v/>
      </c>
      <c r="E98" s="17">
        <f>B98*(D98/12)</f>
        <v/>
      </c>
      <c r="F98" s="17">
        <f>C98+E98</f>
        <v/>
      </c>
      <c r="G98" s="17">
        <f>MAX(0, B98-C98)</f>
        <v/>
      </c>
    </row>
    <row r="99">
      <c r="A99" s="19" t="n">
        <v>96</v>
      </c>
      <c r="B99" s="20">
        <f>G98</f>
        <v/>
      </c>
      <c r="C99" s="20">
        <f>THAM_DINH_KHOAN_VAY!$B$6/THAM_DINH_KHOAN_VAY!$B$7</f>
        <v/>
      </c>
      <c r="D99" s="21">
        <f>THAM_DINH_KHOAN_VAY!$B$9</f>
        <v/>
      </c>
      <c r="E99" s="20">
        <f>B99*(D99/12)</f>
        <v/>
      </c>
      <c r="F99" s="20">
        <f>C99+E99</f>
        <v/>
      </c>
      <c r="G99" s="20">
        <f>MAX(0, B99-C99)</f>
        <v/>
      </c>
    </row>
    <row r="100">
      <c r="A100" s="16" t="n">
        <v>97</v>
      </c>
      <c r="B100" s="17">
        <f>G99</f>
        <v/>
      </c>
      <c r="C100" s="17">
        <f>THAM_DINH_KHOAN_VAY!$B$6/THAM_DINH_KHOAN_VAY!$B$7</f>
        <v/>
      </c>
      <c r="D100" s="18">
        <f>THAM_DINH_KHOAN_VAY!$B$9</f>
        <v/>
      </c>
      <c r="E100" s="17">
        <f>B100*(D100/12)</f>
        <v/>
      </c>
      <c r="F100" s="17">
        <f>C100+E100</f>
        <v/>
      </c>
      <c r="G100" s="17">
        <f>MAX(0, B100-C100)</f>
        <v/>
      </c>
    </row>
    <row r="101">
      <c r="A101" s="19" t="n">
        <v>98</v>
      </c>
      <c r="B101" s="20">
        <f>G100</f>
        <v/>
      </c>
      <c r="C101" s="20">
        <f>THAM_DINH_KHOAN_VAY!$B$6/THAM_DINH_KHOAN_VAY!$B$7</f>
        <v/>
      </c>
      <c r="D101" s="21">
        <f>THAM_DINH_KHOAN_VAY!$B$9</f>
        <v/>
      </c>
      <c r="E101" s="20">
        <f>B101*(D101/12)</f>
        <v/>
      </c>
      <c r="F101" s="20">
        <f>C101+E101</f>
        <v/>
      </c>
      <c r="G101" s="20">
        <f>MAX(0, B101-C101)</f>
        <v/>
      </c>
    </row>
    <row r="102">
      <c r="A102" s="16" t="n">
        <v>99</v>
      </c>
      <c r="B102" s="17">
        <f>G101</f>
        <v/>
      </c>
      <c r="C102" s="17">
        <f>THAM_DINH_KHOAN_VAY!$B$6/THAM_DINH_KHOAN_VAY!$B$7</f>
        <v/>
      </c>
      <c r="D102" s="18">
        <f>THAM_DINH_KHOAN_VAY!$B$9</f>
        <v/>
      </c>
      <c r="E102" s="17">
        <f>B102*(D102/12)</f>
        <v/>
      </c>
      <c r="F102" s="17">
        <f>C102+E102</f>
        <v/>
      </c>
      <c r="G102" s="17">
        <f>MAX(0, B102-C102)</f>
        <v/>
      </c>
    </row>
    <row r="103">
      <c r="A103" s="19" t="n">
        <v>100</v>
      </c>
      <c r="B103" s="20">
        <f>G102</f>
        <v/>
      </c>
      <c r="C103" s="20">
        <f>THAM_DINH_KHOAN_VAY!$B$6/THAM_DINH_KHOAN_VAY!$B$7</f>
        <v/>
      </c>
      <c r="D103" s="21">
        <f>THAM_DINH_KHOAN_VAY!$B$9</f>
        <v/>
      </c>
      <c r="E103" s="20">
        <f>B103*(D103/12)</f>
        <v/>
      </c>
      <c r="F103" s="20">
        <f>C103+E103</f>
        <v/>
      </c>
      <c r="G103" s="20">
        <f>MAX(0, B103-C103)</f>
        <v/>
      </c>
    </row>
    <row r="104">
      <c r="A104" s="16" t="n">
        <v>101</v>
      </c>
      <c r="B104" s="17">
        <f>G103</f>
        <v/>
      </c>
      <c r="C104" s="17">
        <f>THAM_DINH_KHOAN_VAY!$B$6/THAM_DINH_KHOAN_VAY!$B$7</f>
        <v/>
      </c>
      <c r="D104" s="18">
        <f>THAM_DINH_KHOAN_VAY!$B$9</f>
        <v/>
      </c>
      <c r="E104" s="17">
        <f>B104*(D104/12)</f>
        <v/>
      </c>
      <c r="F104" s="17">
        <f>C104+E104</f>
        <v/>
      </c>
      <c r="G104" s="17">
        <f>MAX(0, B104-C104)</f>
        <v/>
      </c>
    </row>
    <row r="105">
      <c r="A105" s="19" t="n">
        <v>102</v>
      </c>
      <c r="B105" s="20">
        <f>G104</f>
        <v/>
      </c>
      <c r="C105" s="20">
        <f>THAM_DINH_KHOAN_VAY!$B$6/THAM_DINH_KHOAN_VAY!$B$7</f>
        <v/>
      </c>
      <c r="D105" s="21">
        <f>THAM_DINH_KHOAN_VAY!$B$9</f>
        <v/>
      </c>
      <c r="E105" s="20">
        <f>B105*(D105/12)</f>
        <v/>
      </c>
      <c r="F105" s="20">
        <f>C105+E105</f>
        <v/>
      </c>
      <c r="G105" s="20">
        <f>MAX(0, B105-C105)</f>
        <v/>
      </c>
    </row>
    <row r="106">
      <c r="A106" s="16" t="n">
        <v>103</v>
      </c>
      <c r="B106" s="17">
        <f>G105</f>
        <v/>
      </c>
      <c r="C106" s="17">
        <f>THAM_DINH_KHOAN_VAY!$B$6/THAM_DINH_KHOAN_VAY!$B$7</f>
        <v/>
      </c>
      <c r="D106" s="18">
        <f>THAM_DINH_KHOAN_VAY!$B$9</f>
        <v/>
      </c>
      <c r="E106" s="17">
        <f>B106*(D106/12)</f>
        <v/>
      </c>
      <c r="F106" s="17">
        <f>C106+E106</f>
        <v/>
      </c>
      <c r="G106" s="17">
        <f>MAX(0, B106-C106)</f>
        <v/>
      </c>
    </row>
    <row r="107">
      <c r="A107" s="19" t="n">
        <v>104</v>
      </c>
      <c r="B107" s="20">
        <f>G106</f>
        <v/>
      </c>
      <c r="C107" s="20">
        <f>THAM_DINH_KHOAN_VAY!$B$6/THAM_DINH_KHOAN_VAY!$B$7</f>
        <v/>
      </c>
      <c r="D107" s="21">
        <f>THAM_DINH_KHOAN_VAY!$B$9</f>
        <v/>
      </c>
      <c r="E107" s="20">
        <f>B107*(D107/12)</f>
        <v/>
      </c>
      <c r="F107" s="20">
        <f>C107+E107</f>
        <v/>
      </c>
      <c r="G107" s="20">
        <f>MAX(0, B107-C107)</f>
        <v/>
      </c>
    </row>
    <row r="108">
      <c r="A108" s="16" t="n">
        <v>105</v>
      </c>
      <c r="B108" s="17">
        <f>G107</f>
        <v/>
      </c>
      <c r="C108" s="17">
        <f>THAM_DINH_KHOAN_VAY!$B$6/THAM_DINH_KHOAN_VAY!$B$7</f>
        <v/>
      </c>
      <c r="D108" s="18">
        <f>THAM_DINH_KHOAN_VAY!$B$9</f>
        <v/>
      </c>
      <c r="E108" s="17">
        <f>B108*(D108/12)</f>
        <v/>
      </c>
      <c r="F108" s="17">
        <f>C108+E108</f>
        <v/>
      </c>
      <c r="G108" s="17">
        <f>MAX(0, B108-C108)</f>
        <v/>
      </c>
    </row>
    <row r="109">
      <c r="A109" s="19" t="n">
        <v>106</v>
      </c>
      <c r="B109" s="20">
        <f>G108</f>
        <v/>
      </c>
      <c r="C109" s="20">
        <f>THAM_DINH_KHOAN_VAY!$B$6/THAM_DINH_KHOAN_VAY!$B$7</f>
        <v/>
      </c>
      <c r="D109" s="21">
        <f>THAM_DINH_KHOAN_VAY!$B$9</f>
        <v/>
      </c>
      <c r="E109" s="20">
        <f>B109*(D109/12)</f>
        <v/>
      </c>
      <c r="F109" s="20">
        <f>C109+E109</f>
        <v/>
      </c>
      <c r="G109" s="20">
        <f>MAX(0, B109-C109)</f>
        <v/>
      </c>
    </row>
    <row r="110">
      <c r="A110" s="16" t="n">
        <v>107</v>
      </c>
      <c r="B110" s="17">
        <f>G109</f>
        <v/>
      </c>
      <c r="C110" s="17">
        <f>THAM_DINH_KHOAN_VAY!$B$6/THAM_DINH_KHOAN_VAY!$B$7</f>
        <v/>
      </c>
      <c r="D110" s="18">
        <f>THAM_DINH_KHOAN_VAY!$B$9</f>
        <v/>
      </c>
      <c r="E110" s="17">
        <f>B110*(D110/12)</f>
        <v/>
      </c>
      <c r="F110" s="17">
        <f>C110+E110</f>
        <v/>
      </c>
      <c r="G110" s="17">
        <f>MAX(0, B110-C110)</f>
        <v/>
      </c>
    </row>
    <row r="111">
      <c r="A111" s="19" t="n">
        <v>108</v>
      </c>
      <c r="B111" s="20">
        <f>G110</f>
        <v/>
      </c>
      <c r="C111" s="20">
        <f>THAM_DINH_KHOAN_VAY!$B$6/THAM_DINH_KHOAN_VAY!$B$7</f>
        <v/>
      </c>
      <c r="D111" s="21">
        <f>THAM_DINH_KHOAN_VAY!$B$9</f>
        <v/>
      </c>
      <c r="E111" s="20">
        <f>B111*(D111/12)</f>
        <v/>
      </c>
      <c r="F111" s="20">
        <f>C111+E111</f>
        <v/>
      </c>
      <c r="G111" s="20">
        <f>MAX(0, B111-C111)</f>
        <v/>
      </c>
    </row>
    <row r="112">
      <c r="A112" s="16" t="n">
        <v>109</v>
      </c>
      <c r="B112" s="17">
        <f>G111</f>
        <v/>
      </c>
      <c r="C112" s="17">
        <f>THAM_DINH_KHOAN_VAY!$B$6/THAM_DINH_KHOAN_VAY!$B$7</f>
        <v/>
      </c>
      <c r="D112" s="18">
        <f>THAM_DINH_KHOAN_VAY!$B$9</f>
        <v/>
      </c>
      <c r="E112" s="17">
        <f>B112*(D112/12)</f>
        <v/>
      </c>
      <c r="F112" s="17">
        <f>C112+E112</f>
        <v/>
      </c>
      <c r="G112" s="17">
        <f>MAX(0, B112-C112)</f>
        <v/>
      </c>
    </row>
    <row r="113">
      <c r="A113" s="19" t="n">
        <v>110</v>
      </c>
      <c r="B113" s="20">
        <f>G112</f>
        <v/>
      </c>
      <c r="C113" s="20">
        <f>THAM_DINH_KHOAN_VAY!$B$6/THAM_DINH_KHOAN_VAY!$B$7</f>
        <v/>
      </c>
      <c r="D113" s="21">
        <f>THAM_DINH_KHOAN_VAY!$B$9</f>
        <v/>
      </c>
      <c r="E113" s="20">
        <f>B113*(D113/12)</f>
        <v/>
      </c>
      <c r="F113" s="20">
        <f>C113+E113</f>
        <v/>
      </c>
      <c r="G113" s="20">
        <f>MAX(0, B113-C113)</f>
        <v/>
      </c>
    </row>
    <row r="114">
      <c r="A114" s="16" t="n">
        <v>111</v>
      </c>
      <c r="B114" s="17">
        <f>G113</f>
        <v/>
      </c>
      <c r="C114" s="17">
        <f>THAM_DINH_KHOAN_VAY!$B$6/THAM_DINH_KHOAN_VAY!$B$7</f>
        <v/>
      </c>
      <c r="D114" s="18">
        <f>THAM_DINH_KHOAN_VAY!$B$9</f>
        <v/>
      </c>
      <c r="E114" s="17">
        <f>B114*(D114/12)</f>
        <v/>
      </c>
      <c r="F114" s="17">
        <f>C114+E114</f>
        <v/>
      </c>
      <c r="G114" s="17">
        <f>MAX(0, B114-C114)</f>
        <v/>
      </c>
    </row>
    <row r="115">
      <c r="A115" s="19" t="n">
        <v>112</v>
      </c>
      <c r="B115" s="20">
        <f>G114</f>
        <v/>
      </c>
      <c r="C115" s="20">
        <f>THAM_DINH_KHOAN_VAY!$B$6/THAM_DINH_KHOAN_VAY!$B$7</f>
        <v/>
      </c>
      <c r="D115" s="21">
        <f>THAM_DINH_KHOAN_VAY!$B$9</f>
        <v/>
      </c>
      <c r="E115" s="20">
        <f>B115*(D115/12)</f>
        <v/>
      </c>
      <c r="F115" s="20">
        <f>C115+E115</f>
        <v/>
      </c>
      <c r="G115" s="20">
        <f>MAX(0, B115-C115)</f>
        <v/>
      </c>
    </row>
    <row r="116">
      <c r="A116" s="16" t="n">
        <v>113</v>
      </c>
      <c r="B116" s="17">
        <f>G115</f>
        <v/>
      </c>
      <c r="C116" s="17">
        <f>THAM_DINH_KHOAN_VAY!$B$6/THAM_DINH_KHOAN_VAY!$B$7</f>
        <v/>
      </c>
      <c r="D116" s="18">
        <f>THAM_DINH_KHOAN_VAY!$B$9</f>
        <v/>
      </c>
      <c r="E116" s="17">
        <f>B116*(D116/12)</f>
        <v/>
      </c>
      <c r="F116" s="17">
        <f>C116+E116</f>
        <v/>
      </c>
      <c r="G116" s="17">
        <f>MAX(0, B116-C116)</f>
        <v/>
      </c>
    </row>
    <row r="117">
      <c r="A117" s="19" t="n">
        <v>114</v>
      </c>
      <c r="B117" s="20">
        <f>G116</f>
        <v/>
      </c>
      <c r="C117" s="20">
        <f>THAM_DINH_KHOAN_VAY!$B$6/THAM_DINH_KHOAN_VAY!$B$7</f>
        <v/>
      </c>
      <c r="D117" s="21">
        <f>THAM_DINH_KHOAN_VAY!$B$9</f>
        <v/>
      </c>
      <c r="E117" s="20">
        <f>B117*(D117/12)</f>
        <v/>
      </c>
      <c r="F117" s="20">
        <f>C117+E117</f>
        <v/>
      </c>
      <c r="G117" s="20">
        <f>MAX(0, B117-C117)</f>
        <v/>
      </c>
    </row>
    <row r="118">
      <c r="A118" s="16" t="n">
        <v>115</v>
      </c>
      <c r="B118" s="17">
        <f>G117</f>
        <v/>
      </c>
      <c r="C118" s="17">
        <f>THAM_DINH_KHOAN_VAY!$B$6/THAM_DINH_KHOAN_VAY!$B$7</f>
        <v/>
      </c>
      <c r="D118" s="18">
        <f>THAM_DINH_KHOAN_VAY!$B$9</f>
        <v/>
      </c>
      <c r="E118" s="17">
        <f>B118*(D118/12)</f>
        <v/>
      </c>
      <c r="F118" s="17">
        <f>C118+E118</f>
        <v/>
      </c>
      <c r="G118" s="17">
        <f>MAX(0, B118-C118)</f>
        <v/>
      </c>
    </row>
    <row r="119">
      <c r="A119" s="19" t="n">
        <v>116</v>
      </c>
      <c r="B119" s="20">
        <f>G118</f>
        <v/>
      </c>
      <c r="C119" s="20">
        <f>THAM_DINH_KHOAN_VAY!$B$6/THAM_DINH_KHOAN_VAY!$B$7</f>
        <v/>
      </c>
      <c r="D119" s="21">
        <f>THAM_DINH_KHOAN_VAY!$B$9</f>
        <v/>
      </c>
      <c r="E119" s="20">
        <f>B119*(D119/12)</f>
        <v/>
      </c>
      <c r="F119" s="20">
        <f>C119+E119</f>
        <v/>
      </c>
      <c r="G119" s="20">
        <f>MAX(0, B119-C119)</f>
        <v/>
      </c>
    </row>
    <row r="120">
      <c r="A120" s="16" t="n">
        <v>117</v>
      </c>
      <c r="B120" s="17">
        <f>G119</f>
        <v/>
      </c>
      <c r="C120" s="17">
        <f>THAM_DINH_KHOAN_VAY!$B$6/THAM_DINH_KHOAN_VAY!$B$7</f>
        <v/>
      </c>
      <c r="D120" s="18">
        <f>THAM_DINH_KHOAN_VAY!$B$9</f>
        <v/>
      </c>
      <c r="E120" s="17">
        <f>B120*(D120/12)</f>
        <v/>
      </c>
      <c r="F120" s="17">
        <f>C120+E120</f>
        <v/>
      </c>
      <c r="G120" s="17">
        <f>MAX(0, B120-C120)</f>
        <v/>
      </c>
    </row>
    <row r="121">
      <c r="A121" s="19" t="n">
        <v>118</v>
      </c>
      <c r="B121" s="20">
        <f>G120</f>
        <v/>
      </c>
      <c r="C121" s="20">
        <f>THAM_DINH_KHOAN_VAY!$B$6/THAM_DINH_KHOAN_VAY!$B$7</f>
        <v/>
      </c>
      <c r="D121" s="21">
        <f>THAM_DINH_KHOAN_VAY!$B$9</f>
        <v/>
      </c>
      <c r="E121" s="20">
        <f>B121*(D121/12)</f>
        <v/>
      </c>
      <c r="F121" s="20">
        <f>C121+E121</f>
        <v/>
      </c>
      <c r="G121" s="20">
        <f>MAX(0, B121-C121)</f>
        <v/>
      </c>
    </row>
    <row r="122">
      <c r="A122" s="16" t="n">
        <v>119</v>
      </c>
      <c r="B122" s="17">
        <f>G121</f>
        <v/>
      </c>
      <c r="C122" s="17">
        <f>THAM_DINH_KHOAN_VAY!$B$6/THAM_DINH_KHOAN_VAY!$B$7</f>
        <v/>
      </c>
      <c r="D122" s="18">
        <f>THAM_DINH_KHOAN_VAY!$B$9</f>
        <v/>
      </c>
      <c r="E122" s="17">
        <f>B122*(D122/12)</f>
        <v/>
      </c>
      <c r="F122" s="17">
        <f>C122+E122</f>
        <v/>
      </c>
      <c r="G122" s="17">
        <f>MAX(0, B122-C122)</f>
        <v/>
      </c>
    </row>
    <row r="123">
      <c r="A123" s="19" t="n">
        <v>120</v>
      </c>
      <c r="B123" s="20">
        <f>G122</f>
        <v/>
      </c>
      <c r="C123" s="20">
        <f>THAM_DINH_KHOAN_VAY!$B$6/THAM_DINH_KHOAN_VAY!$B$7</f>
        <v/>
      </c>
      <c r="D123" s="21">
        <f>THAM_DINH_KHOAN_VAY!$B$9</f>
        <v/>
      </c>
      <c r="E123" s="20">
        <f>B123*(D123/12)</f>
        <v/>
      </c>
      <c r="F123" s="20">
        <f>C123+E123</f>
        <v/>
      </c>
      <c r="G123" s="20">
        <f>MAX(0, B123-C123)</f>
        <v/>
      </c>
    </row>
    <row r="124">
      <c r="A124" s="16" t="n">
        <v>121</v>
      </c>
      <c r="B124" s="17">
        <f>G123</f>
        <v/>
      </c>
      <c r="C124" s="17">
        <f>THAM_DINH_KHOAN_VAY!$B$6/THAM_DINH_KHOAN_VAY!$B$7</f>
        <v/>
      </c>
      <c r="D124" s="18">
        <f>THAM_DINH_KHOAN_VAY!$B$9</f>
        <v/>
      </c>
      <c r="E124" s="17">
        <f>B124*(D124/12)</f>
        <v/>
      </c>
      <c r="F124" s="17">
        <f>C124+E124</f>
        <v/>
      </c>
      <c r="G124" s="17">
        <f>MAX(0, B124-C124)</f>
        <v/>
      </c>
    </row>
    <row r="125">
      <c r="A125" s="19" t="n">
        <v>122</v>
      </c>
      <c r="B125" s="20">
        <f>G124</f>
        <v/>
      </c>
      <c r="C125" s="20">
        <f>THAM_DINH_KHOAN_VAY!$B$6/THAM_DINH_KHOAN_VAY!$B$7</f>
        <v/>
      </c>
      <c r="D125" s="21">
        <f>THAM_DINH_KHOAN_VAY!$B$9</f>
        <v/>
      </c>
      <c r="E125" s="20">
        <f>B125*(D125/12)</f>
        <v/>
      </c>
      <c r="F125" s="20">
        <f>C125+E125</f>
        <v/>
      </c>
      <c r="G125" s="20">
        <f>MAX(0, B125-C125)</f>
        <v/>
      </c>
    </row>
    <row r="126">
      <c r="A126" s="16" t="n">
        <v>123</v>
      </c>
      <c r="B126" s="17">
        <f>G125</f>
        <v/>
      </c>
      <c r="C126" s="17">
        <f>THAM_DINH_KHOAN_VAY!$B$6/THAM_DINH_KHOAN_VAY!$B$7</f>
        <v/>
      </c>
      <c r="D126" s="18">
        <f>THAM_DINH_KHOAN_VAY!$B$9</f>
        <v/>
      </c>
      <c r="E126" s="17">
        <f>B126*(D126/12)</f>
        <v/>
      </c>
      <c r="F126" s="17">
        <f>C126+E126</f>
        <v/>
      </c>
      <c r="G126" s="17">
        <f>MAX(0, B126-C126)</f>
        <v/>
      </c>
    </row>
    <row r="127">
      <c r="A127" s="19" t="n">
        <v>124</v>
      </c>
      <c r="B127" s="20">
        <f>G126</f>
        <v/>
      </c>
      <c r="C127" s="20">
        <f>THAM_DINH_KHOAN_VAY!$B$6/THAM_DINH_KHOAN_VAY!$B$7</f>
        <v/>
      </c>
      <c r="D127" s="21">
        <f>THAM_DINH_KHOAN_VAY!$B$9</f>
        <v/>
      </c>
      <c r="E127" s="20">
        <f>B127*(D127/12)</f>
        <v/>
      </c>
      <c r="F127" s="20">
        <f>C127+E127</f>
        <v/>
      </c>
      <c r="G127" s="20">
        <f>MAX(0, B127-C127)</f>
        <v/>
      </c>
    </row>
    <row r="128">
      <c r="A128" s="16" t="n">
        <v>125</v>
      </c>
      <c r="B128" s="17">
        <f>G127</f>
        <v/>
      </c>
      <c r="C128" s="17">
        <f>THAM_DINH_KHOAN_VAY!$B$6/THAM_DINH_KHOAN_VAY!$B$7</f>
        <v/>
      </c>
      <c r="D128" s="18">
        <f>THAM_DINH_KHOAN_VAY!$B$9</f>
        <v/>
      </c>
      <c r="E128" s="17">
        <f>B128*(D128/12)</f>
        <v/>
      </c>
      <c r="F128" s="17">
        <f>C128+E128</f>
        <v/>
      </c>
      <c r="G128" s="17">
        <f>MAX(0, B128-C128)</f>
        <v/>
      </c>
    </row>
    <row r="129">
      <c r="A129" s="19" t="n">
        <v>126</v>
      </c>
      <c r="B129" s="20">
        <f>G128</f>
        <v/>
      </c>
      <c r="C129" s="20">
        <f>THAM_DINH_KHOAN_VAY!$B$6/THAM_DINH_KHOAN_VAY!$B$7</f>
        <v/>
      </c>
      <c r="D129" s="21">
        <f>THAM_DINH_KHOAN_VAY!$B$9</f>
        <v/>
      </c>
      <c r="E129" s="20">
        <f>B129*(D129/12)</f>
        <v/>
      </c>
      <c r="F129" s="20">
        <f>C129+E129</f>
        <v/>
      </c>
      <c r="G129" s="20">
        <f>MAX(0, B129-C129)</f>
        <v/>
      </c>
    </row>
    <row r="130">
      <c r="A130" s="16" t="n">
        <v>127</v>
      </c>
      <c r="B130" s="17">
        <f>G129</f>
        <v/>
      </c>
      <c r="C130" s="17">
        <f>THAM_DINH_KHOAN_VAY!$B$6/THAM_DINH_KHOAN_VAY!$B$7</f>
        <v/>
      </c>
      <c r="D130" s="18">
        <f>THAM_DINH_KHOAN_VAY!$B$9</f>
        <v/>
      </c>
      <c r="E130" s="17">
        <f>B130*(D130/12)</f>
        <v/>
      </c>
      <c r="F130" s="17">
        <f>C130+E130</f>
        <v/>
      </c>
      <c r="G130" s="17">
        <f>MAX(0, B130-C130)</f>
        <v/>
      </c>
    </row>
    <row r="131">
      <c r="A131" s="19" t="n">
        <v>128</v>
      </c>
      <c r="B131" s="20">
        <f>G130</f>
        <v/>
      </c>
      <c r="C131" s="20">
        <f>THAM_DINH_KHOAN_VAY!$B$6/THAM_DINH_KHOAN_VAY!$B$7</f>
        <v/>
      </c>
      <c r="D131" s="21">
        <f>THAM_DINH_KHOAN_VAY!$B$9</f>
        <v/>
      </c>
      <c r="E131" s="20">
        <f>B131*(D131/12)</f>
        <v/>
      </c>
      <c r="F131" s="20">
        <f>C131+E131</f>
        <v/>
      </c>
      <c r="G131" s="20">
        <f>MAX(0, B131-C131)</f>
        <v/>
      </c>
    </row>
    <row r="132">
      <c r="A132" s="16" t="n">
        <v>129</v>
      </c>
      <c r="B132" s="17">
        <f>G131</f>
        <v/>
      </c>
      <c r="C132" s="17">
        <f>THAM_DINH_KHOAN_VAY!$B$6/THAM_DINH_KHOAN_VAY!$B$7</f>
        <v/>
      </c>
      <c r="D132" s="18">
        <f>THAM_DINH_KHOAN_VAY!$B$9</f>
        <v/>
      </c>
      <c r="E132" s="17">
        <f>B132*(D132/12)</f>
        <v/>
      </c>
      <c r="F132" s="17">
        <f>C132+E132</f>
        <v/>
      </c>
      <c r="G132" s="17">
        <f>MAX(0, B132-C132)</f>
        <v/>
      </c>
    </row>
    <row r="133">
      <c r="A133" s="19" t="n">
        <v>130</v>
      </c>
      <c r="B133" s="20">
        <f>G132</f>
        <v/>
      </c>
      <c r="C133" s="20">
        <f>THAM_DINH_KHOAN_VAY!$B$6/THAM_DINH_KHOAN_VAY!$B$7</f>
        <v/>
      </c>
      <c r="D133" s="21">
        <f>THAM_DINH_KHOAN_VAY!$B$9</f>
        <v/>
      </c>
      <c r="E133" s="20">
        <f>B133*(D133/12)</f>
        <v/>
      </c>
      <c r="F133" s="20">
        <f>C133+E133</f>
        <v/>
      </c>
      <c r="G133" s="20">
        <f>MAX(0, B133-C133)</f>
        <v/>
      </c>
    </row>
    <row r="134">
      <c r="A134" s="16" t="n">
        <v>131</v>
      </c>
      <c r="B134" s="17">
        <f>G133</f>
        <v/>
      </c>
      <c r="C134" s="17">
        <f>THAM_DINH_KHOAN_VAY!$B$6/THAM_DINH_KHOAN_VAY!$B$7</f>
        <v/>
      </c>
      <c r="D134" s="18">
        <f>THAM_DINH_KHOAN_VAY!$B$9</f>
        <v/>
      </c>
      <c r="E134" s="17">
        <f>B134*(D134/12)</f>
        <v/>
      </c>
      <c r="F134" s="17">
        <f>C134+E134</f>
        <v/>
      </c>
      <c r="G134" s="17">
        <f>MAX(0, B134-C134)</f>
        <v/>
      </c>
    </row>
    <row r="135">
      <c r="A135" s="19" t="n">
        <v>132</v>
      </c>
      <c r="B135" s="20">
        <f>G134</f>
        <v/>
      </c>
      <c r="C135" s="20">
        <f>THAM_DINH_KHOAN_VAY!$B$6/THAM_DINH_KHOAN_VAY!$B$7</f>
        <v/>
      </c>
      <c r="D135" s="21">
        <f>THAM_DINH_KHOAN_VAY!$B$9</f>
        <v/>
      </c>
      <c r="E135" s="20">
        <f>B135*(D135/12)</f>
        <v/>
      </c>
      <c r="F135" s="20">
        <f>C135+E135</f>
        <v/>
      </c>
      <c r="G135" s="20">
        <f>MAX(0, B135-C135)</f>
        <v/>
      </c>
    </row>
    <row r="136">
      <c r="A136" s="16" t="n">
        <v>133</v>
      </c>
      <c r="B136" s="17">
        <f>G135</f>
        <v/>
      </c>
      <c r="C136" s="17">
        <f>THAM_DINH_KHOAN_VAY!$B$6/THAM_DINH_KHOAN_VAY!$B$7</f>
        <v/>
      </c>
      <c r="D136" s="18">
        <f>THAM_DINH_KHOAN_VAY!$B$9</f>
        <v/>
      </c>
      <c r="E136" s="17">
        <f>B136*(D136/12)</f>
        <v/>
      </c>
      <c r="F136" s="17">
        <f>C136+E136</f>
        <v/>
      </c>
      <c r="G136" s="17">
        <f>MAX(0, B136-C136)</f>
        <v/>
      </c>
    </row>
    <row r="137">
      <c r="A137" s="19" t="n">
        <v>134</v>
      </c>
      <c r="B137" s="20">
        <f>G136</f>
        <v/>
      </c>
      <c r="C137" s="20">
        <f>THAM_DINH_KHOAN_VAY!$B$6/THAM_DINH_KHOAN_VAY!$B$7</f>
        <v/>
      </c>
      <c r="D137" s="21">
        <f>THAM_DINH_KHOAN_VAY!$B$9</f>
        <v/>
      </c>
      <c r="E137" s="20">
        <f>B137*(D137/12)</f>
        <v/>
      </c>
      <c r="F137" s="20">
        <f>C137+E137</f>
        <v/>
      </c>
      <c r="G137" s="20">
        <f>MAX(0, B137-C137)</f>
        <v/>
      </c>
    </row>
    <row r="138">
      <c r="A138" s="16" t="n">
        <v>135</v>
      </c>
      <c r="B138" s="17">
        <f>G137</f>
        <v/>
      </c>
      <c r="C138" s="17">
        <f>THAM_DINH_KHOAN_VAY!$B$6/THAM_DINH_KHOAN_VAY!$B$7</f>
        <v/>
      </c>
      <c r="D138" s="18">
        <f>THAM_DINH_KHOAN_VAY!$B$9</f>
        <v/>
      </c>
      <c r="E138" s="17">
        <f>B138*(D138/12)</f>
        <v/>
      </c>
      <c r="F138" s="17">
        <f>C138+E138</f>
        <v/>
      </c>
      <c r="G138" s="17">
        <f>MAX(0, B138-C138)</f>
        <v/>
      </c>
    </row>
    <row r="139">
      <c r="A139" s="19" t="n">
        <v>136</v>
      </c>
      <c r="B139" s="20">
        <f>G138</f>
        <v/>
      </c>
      <c r="C139" s="20">
        <f>THAM_DINH_KHOAN_VAY!$B$6/THAM_DINH_KHOAN_VAY!$B$7</f>
        <v/>
      </c>
      <c r="D139" s="21">
        <f>THAM_DINH_KHOAN_VAY!$B$9</f>
        <v/>
      </c>
      <c r="E139" s="20">
        <f>B139*(D139/12)</f>
        <v/>
      </c>
      <c r="F139" s="20">
        <f>C139+E139</f>
        <v/>
      </c>
      <c r="G139" s="20">
        <f>MAX(0, B139-C139)</f>
        <v/>
      </c>
    </row>
    <row r="140">
      <c r="A140" s="16" t="n">
        <v>137</v>
      </c>
      <c r="B140" s="17">
        <f>G139</f>
        <v/>
      </c>
      <c r="C140" s="17">
        <f>THAM_DINH_KHOAN_VAY!$B$6/THAM_DINH_KHOAN_VAY!$B$7</f>
        <v/>
      </c>
      <c r="D140" s="18">
        <f>THAM_DINH_KHOAN_VAY!$B$9</f>
        <v/>
      </c>
      <c r="E140" s="17">
        <f>B140*(D140/12)</f>
        <v/>
      </c>
      <c r="F140" s="17">
        <f>C140+E140</f>
        <v/>
      </c>
      <c r="G140" s="17">
        <f>MAX(0, B140-C140)</f>
        <v/>
      </c>
    </row>
    <row r="141">
      <c r="A141" s="19" t="n">
        <v>138</v>
      </c>
      <c r="B141" s="20">
        <f>G140</f>
        <v/>
      </c>
      <c r="C141" s="20">
        <f>THAM_DINH_KHOAN_VAY!$B$6/THAM_DINH_KHOAN_VAY!$B$7</f>
        <v/>
      </c>
      <c r="D141" s="21">
        <f>THAM_DINH_KHOAN_VAY!$B$9</f>
        <v/>
      </c>
      <c r="E141" s="20">
        <f>B141*(D141/12)</f>
        <v/>
      </c>
      <c r="F141" s="20">
        <f>C141+E141</f>
        <v/>
      </c>
      <c r="G141" s="20">
        <f>MAX(0, B141-C141)</f>
        <v/>
      </c>
    </row>
    <row r="142">
      <c r="A142" s="16" t="n">
        <v>139</v>
      </c>
      <c r="B142" s="17">
        <f>G141</f>
        <v/>
      </c>
      <c r="C142" s="17">
        <f>THAM_DINH_KHOAN_VAY!$B$6/THAM_DINH_KHOAN_VAY!$B$7</f>
        <v/>
      </c>
      <c r="D142" s="18">
        <f>THAM_DINH_KHOAN_VAY!$B$9</f>
        <v/>
      </c>
      <c r="E142" s="17">
        <f>B142*(D142/12)</f>
        <v/>
      </c>
      <c r="F142" s="17">
        <f>C142+E142</f>
        <v/>
      </c>
      <c r="G142" s="17">
        <f>MAX(0, B142-C142)</f>
        <v/>
      </c>
    </row>
    <row r="143">
      <c r="A143" s="19" t="n">
        <v>140</v>
      </c>
      <c r="B143" s="20">
        <f>G142</f>
        <v/>
      </c>
      <c r="C143" s="20">
        <f>THAM_DINH_KHOAN_VAY!$B$6/THAM_DINH_KHOAN_VAY!$B$7</f>
        <v/>
      </c>
      <c r="D143" s="21">
        <f>THAM_DINH_KHOAN_VAY!$B$9</f>
        <v/>
      </c>
      <c r="E143" s="20">
        <f>B143*(D143/12)</f>
        <v/>
      </c>
      <c r="F143" s="20">
        <f>C143+E143</f>
        <v/>
      </c>
      <c r="G143" s="20">
        <f>MAX(0, B143-C143)</f>
        <v/>
      </c>
    </row>
    <row r="144">
      <c r="A144" s="16" t="n">
        <v>141</v>
      </c>
      <c r="B144" s="17">
        <f>G143</f>
        <v/>
      </c>
      <c r="C144" s="17">
        <f>THAM_DINH_KHOAN_VAY!$B$6/THAM_DINH_KHOAN_VAY!$B$7</f>
        <v/>
      </c>
      <c r="D144" s="18">
        <f>THAM_DINH_KHOAN_VAY!$B$9</f>
        <v/>
      </c>
      <c r="E144" s="17">
        <f>B144*(D144/12)</f>
        <v/>
      </c>
      <c r="F144" s="17">
        <f>C144+E144</f>
        <v/>
      </c>
      <c r="G144" s="17">
        <f>MAX(0, B144-C144)</f>
        <v/>
      </c>
    </row>
    <row r="145">
      <c r="A145" s="19" t="n">
        <v>142</v>
      </c>
      <c r="B145" s="20">
        <f>G144</f>
        <v/>
      </c>
      <c r="C145" s="20">
        <f>THAM_DINH_KHOAN_VAY!$B$6/THAM_DINH_KHOAN_VAY!$B$7</f>
        <v/>
      </c>
      <c r="D145" s="21">
        <f>THAM_DINH_KHOAN_VAY!$B$9</f>
        <v/>
      </c>
      <c r="E145" s="20">
        <f>B145*(D145/12)</f>
        <v/>
      </c>
      <c r="F145" s="20">
        <f>C145+E145</f>
        <v/>
      </c>
      <c r="G145" s="20">
        <f>MAX(0, B145-C145)</f>
        <v/>
      </c>
    </row>
    <row r="146">
      <c r="A146" s="16" t="n">
        <v>143</v>
      </c>
      <c r="B146" s="17">
        <f>G145</f>
        <v/>
      </c>
      <c r="C146" s="17">
        <f>THAM_DINH_KHOAN_VAY!$B$6/THAM_DINH_KHOAN_VAY!$B$7</f>
        <v/>
      </c>
      <c r="D146" s="18">
        <f>THAM_DINH_KHOAN_VAY!$B$9</f>
        <v/>
      </c>
      <c r="E146" s="17">
        <f>B146*(D146/12)</f>
        <v/>
      </c>
      <c r="F146" s="17">
        <f>C146+E146</f>
        <v/>
      </c>
      <c r="G146" s="17">
        <f>MAX(0, B146-C146)</f>
        <v/>
      </c>
    </row>
    <row r="147">
      <c r="A147" s="19" t="n">
        <v>144</v>
      </c>
      <c r="B147" s="20">
        <f>G146</f>
        <v/>
      </c>
      <c r="C147" s="20">
        <f>THAM_DINH_KHOAN_VAY!$B$6/THAM_DINH_KHOAN_VAY!$B$7</f>
        <v/>
      </c>
      <c r="D147" s="21">
        <f>THAM_DINH_KHOAN_VAY!$B$9</f>
        <v/>
      </c>
      <c r="E147" s="20">
        <f>B147*(D147/12)</f>
        <v/>
      </c>
      <c r="F147" s="20">
        <f>C147+E147</f>
        <v/>
      </c>
      <c r="G147" s="20">
        <f>MAX(0, B147-C147)</f>
        <v/>
      </c>
    </row>
    <row r="148">
      <c r="A148" s="16" t="n">
        <v>145</v>
      </c>
      <c r="B148" s="17">
        <f>G147</f>
        <v/>
      </c>
      <c r="C148" s="17">
        <f>THAM_DINH_KHOAN_VAY!$B$6/THAM_DINH_KHOAN_VAY!$B$7</f>
        <v/>
      </c>
      <c r="D148" s="18">
        <f>THAM_DINH_KHOAN_VAY!$B$9</f>
        <v/>
      </c>
      <c r="E148" s="17">
        <f>B148*(D148/12)</f>
        <v/>
      </c>
      <c r="F148" s="17">
        <f>C148+E148</f>
        <v/>
      </c>
      <c r="G148" s="17">
        <f>MAX(0, B148-C148)</f>
        <v/>
      </c>
    </row>
    <row r="149">
      <c r="A149" s="19" t="n">
        <v>146</v>
      </c>
      <c r="B149" s="20">
        <f>G148</f>
        <v/>
      </c>
      <c r="C149" s="20">
        <f>THAM_DINH_KHOAN_VAY!$B$6/THAM_DINH_KHOAN_VAY!$B$7</f>
        <v/>
      </c>
      <c r="D149" s="21">
        <f>THAM_DINH_KHOAN_VAY!$B$9</f>
        <v/>
      </c>
      <c r="E149" s="20">
        <f>B149*(D149/12)</f>
        <v/>
      </c>
      <c r="F149" s="20">
        <f>C149+E149</f>
        <v/>
      </c>
      <c r="G149" s="20">
        <f>MAX(0, B149-C149)</f>
        <v/>
      </c>
    </row>
    <row r="150">
      <c r="A150" s="16" t="n">
        <v>147</v>
      </c>
      <c r="B150" s="17">
        <f>G149</f>
        <v/>
      </c>
      <c r="C150" s="17">
        <f>THAM_DINH_KHOAN_VAY!$B$6/THAM_DINH_KHOAN_VAY!$B$7</f>
        <v/>
      </c>
      <c r="D150" s="18">
        <f>THAM_DINH_KHOAN_VAY!$B$9</f>
        <v/>
      </c>
      <c r="E150" s="17">
        <f>B150*(D150/12)</f>
        <v/>
      </c>
      <c r="F150" s="17">
        <f>C150+E150</f>
        <v/>
      </c>
      <c r="G150" s="17">
        <f>MAX(0, B150-C150)</f>
        <v/>
      </c>
    </row>
    <row r="151">
      <c r="A151" s="19" t="n">
        <v>148</v>
      </c>
      <c r="B151" s="20">
        <f>G150</f>
        <v/>
      </c>
      <c r="C151" s="20">
        <f>THAM_DINH_KHOAN_VAY!$B$6/THAM_DINH_KHOAN_VAY!$B$7</f>
        <v/>
      </c>
      <c r="D151" s="21">
        <f>THAM_DINH_KHOAN_VAY!$B$9</f>
        <v/>
      </c>
      <c r="E151" s="20">
        <f>B151*(D151/12)</f>
        <v/>
      </c>
      <c r="F151" s="20">
        <f>C151+E151</f>
        <v/>
      </c>
      <c r="G151" s="20">
        <f>MAX(0, B151-C151)</f>
        <v/>
      </c>
    </row>
    <row r="152">
      <c r="A152" s="16" t="n">
        <v>149</v>
      </c>
      <c r="B152" s="17">
        <f>G151</f>
        <v/>
      </c>
      <c r="C152" s="17">
        <f>THAM_DINH_KHOAN_VAY!$B$6/THAM_DINH_KHOAN_VAY!$B$7</f>
        <v/>
      </c>
      <c r="D152" s="18">
        <f>THAM_DINH_KHOAN_VAY!$B$9</f>
        <v/>
      </c>
      <c r="E152" s="17">
        <f>B152*(D152/12)</f>
        <v/>
      </c>
      <c r="F152" s="17">
        <f>C152+E152</f>
        <v/>
      </c>
      <c r="G152" s="17">
        <f>MAX(0, B152-C152)</f>
        <v/>
      </c>
    </row>
    <row r="153">
      <c r="A153" s="19" t="n">
        <v>150</v>
      </c>
      <c r="B153" s="20">
        <f>G152</f>
        <v/>
      </c>
      <c r="C153" s="20">
        <f>THAM_DINH_KHOAN_VAY!$B$6/THAM_DINH_KHOAN_VAY!$B$7</f>
        <v/>
      </c>
      <c r="D153" s="21">
        <f>THAM_DINH_KHOAN_VAY!$B$9</f>
        <v/>
      </c>
      <c r="E153" s="20">
        <f>B153*(D153/12)</f>
        <v/>
      </c>
      <c r="F153" s="20">
        <f>C153+E153</f>
        <v/>
      </c>
      <c r="G153" s="20">
        <f>MAX(0, B153-C153)</f>
        <v/>
      </c>
    </row>
    <row r="154">
      <c r="A154" s="16" t="n">
        <v>151</v>
      </c>
      <c r="B154" s="17">
        <f>G153</f>
        <v/>
      </c>
      <c r="C154" s="17">
        <f>THAM_DINH_KHOAN_VAY!$B$6/THAM_DINH_KHOAN_VAY!$B$7</f>
        <v/>
      </c>
      <c r="D154" s="18">
        <f>THAM_DINH_KHOAN_VAY!$B$9</f>
        <v/>
      </c>
      <c r="E154" s="17">
        <f>B154*(D154/12)</f>
        <v/>
      </c>
      <c r="F154" s="17">
        <f>C154+E154</f>
        <v/>
      </c>
      <c r="G154" s="17">
        <f>MAX(0, B154-C154)</f>
        <v/>
      </c>
    </row>
    <row r="155">
      <c r="A155" s="19" t="n">
        <v>152</v>
      </c>
      <c r="B155" s="20">
        <f>G154</f>
        <v/>
      </c>
      <c r="C155" s="20">
        <f>THAM_DINH_KHOAN_VAY!$B$6/THAM_DINH_KHOAN_VAY!$B$7</f>
        <v/>
      </c>
      <c r="D155" s="21">
        <f>THAM_DINH_KHOAN_VAY!$B$9</f>
        <v/>
      </c>
      <c r="E155" s="20">
        <f>B155*(D155/12)</f>
        <v/>
      </c>
      <c r="F155" s="20">
        <f>C155+E155</f>
        <v/>
      </c>
      <c r="G155" s="20">
        <f>MAX(0, B155-C155)</f>
        <v/>
      </c>
    </row>
    <row r="156">
      <c r="A156" s="16" t="n">
        <v>153</v>
      </c>
      <c r="B156" s="17">
        <f>G155</f>
        <v/>
      </c>
      <c r="C156" s="17">
        <f>THAM_DINH_KHOAN_VAY!$B$6/THAM_DINH_KHOAN_VAY!$B$7</f>
        <v/>
      </c>
      <c r="D156" s="18">
        <f>THAM_DINH_KHOAN_VAY!$B$9</f>
        <v/>
      </c>
      <c r="E156" s="17">
        <f>B156*(D156/12)</f>
        <v/>
      </c>
      <c r="F156" s="17">
        <f>C156+E156</f>
        <v/>
      </c>
      <c r="G156" s="17">
        <f>MAX(0, B156-C156)</f>
        <v/>
      </c>
    </row>
    <row r="157">
      <c r="A157" s="19" t="n">
        <v>154</v>
      </c>
      <c r="B157" s="20">
        <f>G156</f>
        <v/>
      </c>
      <c r="C157" s="20">
        <f>THAM_DINH_KHOAN_VAY!$B$6/THAM_DINH_KHOAN_VAY!$B$7</f>
        <v/>
      </c>
      <c r="D157" s="21">
        <f>THAM_DINH_KHOAN_VAY!$B$9</f>
        <v/>
      </c>
      <c r="E157" s="20">
        <f>B157*(D157/12)</f>
        <v/>
      </c>
      <c r="F157" s="20">
        <f>C157+E157</f>
        <v/>
      </c>
      <c r="G157" s="20">
        <f>MAX(0, B157-C157)</f>
        <v/>
      </c>
    </row>
    <row r="158">
      <c r="A158" s="16" t="n">
        <v>155</v>
      </c>
      <c r="B158" s="17">
        <f>G157</f>
        <v/>
      </c>
      <c r="C158" s="17">
        <f>THAM_DINH_KHOAN_VAY!$B$6/THAM_DINH_KHOAN_VAY!$B$7</f>
        <v/>
      </c>
      <c r="D158" s="18">
        <f>THAM_DINH_KHOAN_VAY!$B$9</f>
        <v/>
      </c>
      <c r="E158" s="17">
        <f>B158*(D158/12)</f>
        <v/>
      </c>
      <c r="F158" s="17">
        <f>C158+E158</f>
        <v/>
      </c>
      <c r="G158" s="17">
        <f>MAX(0, B158-C158)</f>
        <v/>
      </c>
    </row>
    <row r="159">
      <c r="A159" s="19" t="n">
        <v>156</v>
      </c>
      <c r="B159" s="20">
        <f>G158</f>
        <v/>
      </c>
      <c r="C159" s="20">
        <f>THAM_DINH_KHOAN_VAY!$B$6/THAM_DINH_KHOAN_VAY!$B$7</f>
        <v/>
      </c>
      <c r="D159" s="21">
        <f>THAM_DINH_KHOAN_VAY!$B$9</f>
        <v/>
      </c>
      <c r="E159" s="20">
        <f>B159*(D159/12)</f>
        <v/>
      </c>
      <c r="F159" s="20">
        <f>C159+E159</f>
        <v/>
      </c>
      <c r="G159" s="20">
        <f>MAX(0, B159-C159)</f>
        <v/>
      </c>
    </row>
    <row r="160">
      <c r="A160" s="16" t="n">
        <v>157</v>
      </c>
      <c r="B160" s="17">
        <f>G159</f>
        <v/>
      </c>
      <c r="C160" s="17">
        <f>THAM_DINH_KHOAN_VAY!$B$6/THAM_DINH_KHOAN_VAY!$B$7</f>
        <v/>
      </c>
      <c r="D160" s="18">
        <f>THAM_DINH_KHOAN_VAY!$B$9</f>
        <v/>
      </c>
      <c r="E160" s="17">
        <f>B160*(D160/12)</f>
        <v/>
      </c>
      <c r="F160" s="17">
        <f>C160+E160</f>
        <v/>
      </c>
      <c r="G160" s="17">
        <f>MAX(0, B160-C160)</f>
        <v/>
      </c>
    </row>
    <row r="161">
      <c r="A161" s="19" t="n">
        <v>158</v>
      </c>
      <c r="B161" s="20">
        <f>G160</f>
        <v/>
      </c>
      <c r="C161" s="20">
        <f>THAM_DINH_KHOAN_VAY!$B$6/THAM_DINH_KHOAN_VAY!$B$7</f>
        <v/>
      </c>
      <c r="D161" s="21">
        <f>THAM_DINH_KHOAN_VAY!$B$9</f>
        <v/>
      </c>
      <c r="E161" s="20">
        <f>B161*(D161/12)</f>
        <v/>
      </c>
      <c r="F161" s="20">
        <f>C161+E161</f>
        <v/>
      </c>
      <c r="G161" s="20">
        <f>MAX(0, B161-C161)</f>
        <v/>
      </c>
    </row>
    <row r="162">
      <c r="A162" s="16" t="n">
        <v>159</v>
      </c>
      <c r="B162" s="17">
        <f>G161</f>
        <v/>
      </c>
      <c r="C162" s="17">
        <f>THAM_DINH_KHOAN_VAY!$B$6/THAM_DINH_KHOAN_VAY!$B$7</f>
        <v/>
      </c>
      <c r="D162" s="18">
        <f>THAM_DINH_KHOAN_VAY!$B$9</f>
        <v/>
      </c>
      <c r="E162" s="17">
        <f>B162*(D162/12)</f>
        <v/>
      </c>
      <c r="F162" s="17">
        <f>C162+E162</f>
        <v/>
      </c>
      <c r="G162" s="17">
        <f>MAX(0, B162-C162)</f>
        <v/>
      </c>
    </row>
    <row r="163">
      <c r="A163" s="19" t="n">
        <v>160</v>
      </c>
      <c r="B163" s="20">
        <f>G162</f>
        <v/>
      </c>
      <c r="C163" s="20">
        <f>THAM_DINH_KHOAN_VAY!$B$6/THAM_DINH_KHOAN_VAY!$B$7</f>
        <v/>
      </c>
      <c r="D163" s="21">
        <f>THAM_DINH_KHOAN_VAY!$B$9</f>
        <v/>
      </c>
      <c r="E163" s="20">
        <f>B163*(D163/12)</f>
        <v/>
      </c>
      <c r="F163" s="20">
        <f>C163+E163</f>
        <v/>
      </c>
      <c r="G163" s="20">
        <f>MAX(0, B163-C163)</f>
        <v/>
      </c>
    </row>
    <row r="164">
      <c r="A164" s="16" t="n">
        <v>161</v>
      </c>
      <c r="B164" s="17">
        <f>G163</f>
        <v/>
      </c>
      <c r="C164" s="17">
        <f>THAM_DINH_KHOAN_VAY!$B$6/THAM_DINH_KHOAN_VAY!$B$7</f>
        <v/>
      </c>
      <c r="D164" s="18">
        <f>THAM_DINH_KHOAN_VAY!$B$9</f>
        <v/>
      </c>
      <c r="E164" s="17">
        <f>B164*(D164/12)</f>
        <v/>
      </c>
      <c r="F164" s="17">
        <f>C164+E164</f>
        <v/>
      </c>
      <c r="G164" s="17">
        <f>MAX(0, B164-C164)</f>
        <v/>
      </c>
    </row>
    <row r="165">
      <c r="A165" s="19" t="n">
        <v>162</v>
      </c>
      <c r="B165" s="20">
        <f>G164</f>
        <v/>
      </c>
      <c r="C165" s="20">
        <f>THAM_DINH_KHOAN_VAY!$B$6/THAM_DINH_KHOAN_VAY!$B$7</f>
        <v/>
      </c>
      <c r="D165" s="21">
        <f>THAM_DINH_KHOAN_VAY!$B$9</f>
        <v/>
      </c>
      <c r="E165" s="20">
        <f>B165*(D165/12)</f>
        <v/>
      </c>
      <c r="F165" s="20">
        <f>C165+E165</f>
        <v/>
      </c>
      <c r="G165" s="20">
        <f>MAX(0, B165-C165)</f>
        <v/>
      </c>
    </row>
    <row r="166">
      <c r="A166" s="16" t="n">
        <v>163</v>
      </c>
      <c r="B166" s="17">
        <f>G165</f>
        <v/>
      </c>
      <c r="C166" s="17">
        <f>THAM_DINH_KHOAN_VAY!$B$6/THAM_DINH_KHOAN_VAY!$B$7</f>
        <v/>
      </c>
      <c r="D166" s="18">
        <f>THAM_DINH_KHOAN_VAY!$B$9</f>
        <v/>
      </c>
      <c r="E166" s="17">
        <f>B166*(D166/12)</f>
        <v/>
      </c>
      <c r="F166" s="17">
        <f>C166+E166</f>
        <v/>
      </c>
      <c r="G166" s="17">
        <f>MAX(0, B166-C166)</f>
        <v/>
      </c>
    </row>
    <row r="167">
      <c r="A167" s="19" t="n">
        <v>164</v>
      </c>
      <c r="B167" s="20">
        <f>G166</f>
        <v/>
      </c>
      <c r="C167" s="20">
        <f>THAM_DINH_KHOAN_VAY!$B$6/THAM_DINH_KHOAN_VAY!$B$7</f>
        <v/>
      </c>
      <c r="D167" s="21">
        <f>THAM_DINH_KHOAN_VAY!$B$9</f>
        <v/>
      </c>
      <c r="E167" s="20">
        <f>B167*(D167/12)</f>
        <v/>
      </c>
      <c r="F167" s="20">
        <f>C167+E167</f>
        <v/>
      </c>
      <c r="G167" s="20">
        <f>MAX(0, B167-C167)</f>
        <v/>
      </c>
    </row>
    <row r="168">
      <c r="A168" s="16" t="n">
        <v>165</v>
      </c>
      <c r="B168" s="17">
        <f>G167</f>
        <v/>
      </c>
      <c r="C168" s="17">
        <f>THAM_DINH_KHOAN_VAY!$B$6/THAM_DINH_KHOAN_VAY!$B$7</f>
        <v/>
      </c>
      <c r="D168" s="18">
        <f>THAM_DINH_KHOAN_VAY!$B$9</f>
        <v/>
      </c>
      <c r="E168" s="17">
        <f>B168*(D168/12)</f>
        <v/>
      </c>
      <c r="F168" s="17">
        <f>C168+E168</f>
        <v/>
      </c>
      <c r="G168" s="17">
        <f>MAX(0, B168-C168)</f>
        <v/>
      </c>
    </row>
    <row r="169">
      <c r="A169" s="19" t="n">
        <v>166</v>
      </c>
      <c r="B169" s="20">
        <f>G168</f>
        <v/>
      </c>
      <c r="C169" s="20">
        <f>THAM_DINH_KHOAN_VAY!$B$6/THAM_DINH_KHOAN_VAY!$B$7</f>
        <v/>
      </c>
      <c r="D169" s="21">
        <f>THAM_DINH_KHOAN_VAY!$B$9</f>
        <v/>
      </c>
      <c r="E169" s="20">
        <f>B169*(D169/12)</f>
        <v/>
      </c>
      <c r="F169" s="20">
        <f>C169+E169</f>
        <v/>
      </c>
      <c r="G169" s="20">
        <f>MAX(0, B169-C169)</f>
        <v/>
      </c>
    </row>
    <row r="170">
      <c r="A170" s="16" t="n">
        <v>167</v>
      </c>
      <c r="B170" s="17">
        <f>G169</f>
        <v/>
      </c>
      <c r="C170" s="17">
        <f>THAM_DINH_KHOAN_VAY!$B$6/THAM_DINH_KHOAN_VAY!$B$7</f>
        <v/>
      </c>
      <c r="D170" s="18">
        <f>THAM_DINH_KHOAN_VAY!$B$9</f>
        <v/>
      </c>
      <c r="E170" s="17">
        <f>B170*(D170/12)</f>
        <v/>
      </c>
      <c r="F170" s="17">
        <f>C170+E170</f>
        <v/>
      </c>
      <c r="G170" s="17">
        <f>MAX(0, B170-C170)</f>
        <v/>
      </c>
    </row>
    <row r="171">
      <c r="A171" s="19" t="n">
        <v>168</v>
      </c>
      <c r="B171" s="20">
        <f>G170</f>
        <v/>
      </c>
      <c r="C171" s="20">
        <f>THAM_DINH_KHOAN_VAY!$B$6/THAM_DINH_KHOAN_VAY!$B$7</f>
        <v/>
      </c>
      <c r="D171" s="21">
        <f>THAM_DINH_KHOAN_VAY!$B$9</f>
        <v/>
      </c>
      <c r="E171" s="20">
        <f>B171*(D171/12)</f>
        <v/>
      </c>
      <c r="F171" s="20">
        <f>C171+E171</f>
        <v/>
      </c>
      <c r="G171" s="20">
        <f>MAX(0, B171-C171)</f>
        <v/>
      </c>
    </row>
    <row r="172">
      <c r="A172" s="16" t="n">
        <v>169</v>
      </c>
      <c r="B172" s="17">
        <f>G171</f>
        <v/>
      </c>
      <c r="C172" s="17">
        <f>THAM_DINH_KHOAN_VAY!$B$6/THAM_DINH_KHOAN_VAY!$B$7</f>
        <v/>
      </c>
      <c r="D172" s="18">
        <f>THAM_DINH_KHOAN_VAY!$B$9</f>
        <v/>
      </c>
      <c r="E172" s="17">
        <f>B172*(D172/12)</f>
        <v/>
      </c>
      <c r="F172" s="17">
        <f>C172+E172</f>
        <v/>
      </c>
      <c r="G172" s="17">
        <f>MAX(0, B172-C172)</f>
        <v/>
      </c>
    </row>
    <row r="173">
      <c r="A173" s="19" t="n">
        <v>170</v>
      </c>
      <c r="B173" s="20">
        <f>G172</f>
        <v/>
      </c>
      <c r="C173" s="20">
        <f>THAM_DINH_KHOAN_VAY!$B$6/THAM_DINH_KHOAN_VAY!$B$7</f>
        <v/>
      </c>
      <c r="D173" s="21">
        <f>THAM_DINH_KHOAN_VAY!$B$9</f>
        <v/>
      </c>
      <c r="E173" s="20">
        <f>B173*(D173/12)</f>
        <v/>
      </c>
      <c r="F173" s="20">
        <f>C173+E173</f>
        <v/>
      </c>
      <c r="G173" s="20">
        <f>MAX(0, B173-C173)</f>
        <v/>
      </c>
    </row>
    <row r="174">
      <c r="A174" s="16" t="n">
        <v>171</v>
      </c>
      <c r="B174" s="17">
        <f>G173</f>
        <v/>
      </c>
      <c r="C174" s="17">
        <f>THAM_DINH_KHOAN_VAY!$B$6/THAM_DINH_KHOAN_VAY!$B$7</f>
        <v/>
      </c>
      <c r="D174" s="18">
        <f>THAM_DINH_KHOAN_VAY!$B$9</f>
        <v/>
      </c>
      <c r="E174" s="17">
        <f>B174*(D174/12)</f>
        <v/>
      </c>
      <c r="F174" s="17">
        <f>C174+E174</f>
        <v/>
      </c>
      <c r="G174" s="17">
        <f>MAX(0, B174-C174)</f>
        <v/>
      </c>
    </row>
    <row r="175">
      <c r="A175" s="19" t="n">
        <v>172</v>
      </c>
      <c r="B175" s="20">
        <f>G174</f>
        <v/>
      </c>
      <c r="C175" s="20">
        <f>THAM_DINH_KHOAN_VAY!$B$6/THAM_DINH_KHOAN_VAY!$B$7</f>
        <v/>
      </c>
      <c r="D175" s="21">
        <f>THAM_DINH_KHOAN_VAY!$B$9</f>
        <v/>
      </c>
      <c r="E175" s="20">
        <f>B175*(D175/12)</f>
        <v/>
      </c>
      <c r="F175" s="20">
        <f>C175+E175</f>
        <v/>
      </c>
      <c r="G175" s="20">
        <f>MAX(0, B175-C175)</f>
        <v/>
      </c>
    </row>
    <row r="176">
      <c r="A176" s="16" t="n">
        <v>173</v>
      </c>
      <c r="B176" s="17">
        <f>G175</f>
        <v/>
      </c>
      <c r="C176" s="17">
        <f>THAM_DINH_KHOAN_VAY!$B$6/THAM_DINH_KHOAN_VAY!$B$7</f>
        <v/>
      </c>
      <c r="D176" s="18">
        <f>THAM_DINH_KHOAN_VAY!$B$9</f>
        <v/>
      </c>
      <c r="E176" s="17">
        <f>B176*(D176/12)</f>
        <v/>
      </c>
      <c r="F176" s="17">
        <f>C176+E176</f>
        <v/>
      </c>
      <c r="G176" s="17">
        <f>MAX(0, B176-C176)</f>
        <v/>
      </c>
    </row>
    <row r="177">
      <c r="A177" s="19" t="n">
        <v>174</v>
      </c>
      <c r="B177" s="20">
        <f>G176</f>
        <v/>
      </c>
      <c r="C177" s="20">
        <f>THAM_DINH_KHOAN_VAY!$B$6/THAM_DINH_KHOAN_VAY!$B$7</f>
        <v/>
      </c>
      <c r="D177" s="21">
        <f>THAM_DINH_KHOAN_VAY!$B$9</f>
        <v/>
      </c>
      <c r="E177" s="20">
        <f>B177*(D177/12)</f>
        <v/>
      </c>
      <c r="F177" s="20">
        <f>C177+E177</f>
        <v/>
      </c>
      <c r="G177" s="20">
        <f>MAX(0, B177-C177)</f>
        <v/>
      </c>
    </row>
    <row r="178">
      <c r="A178" s="16" t="n">
        <v>175</v>
      </c>
      <c r="B178" s="17">
        <f>G177</f>
        <v/>
      </c>
      <c r="C178" s="17">
        <f>THAM_DINH_KHOAN_VAY!$B$6/THAM_DINH_KHOAN_VAY!$B$7</f>
        <v/>
      </c>
      <c r="D178" s="18">
        <f>THAM_DINH_KHOAN_VAY!$B$9</f>
        <v/>
      </c>
      <c r="E178" s="17">
        <f>B178*(D178/12)</f>
        <v/>
      </c>
      <c r="F178" s="17">
        <f>C178+E178</f>
        <v/>
      </c>
      <c r="G178" s="17">
        <f>MAX(0, B178-C178)</f>
        <v/>
      </c>
    </row>
    <row r="179">
      <c r="A179" s="19" t="n">
        <v>176</v>
      </c>
      <c r="B179" s="20">
        <f>G178</f>
        <v/>
      </c>
      <c r="C179" s="20">
        <f>THAM_DINH_KHOAN_VAY!$B$6/THAM_DINH_KHOAN_VAY!$B$7</f>
        <v/>
      </c>
      <c r="D179" s="21">
        <f>THAM_DINH_KHOAN_VAY!$B$9</f>
        <v/>
      </c>
      <c r="E179" s="20">
        <f>B179*(D179/12)</f>
        <v/>
      </c>
      <c r="F179" s="20">
        <f>C179+E179</f>
        <v/>
      </c>
      <c r="G179" s="20">
        <f>MAX(0, B179-C179)</f>
        <v/>
      </c>
    </row>
    <row r="180">
      <c r="A180" s="16" t="n">
        <v>177</v>
      </c>
      <c r="B180" s="17">
        <f>G179</f>
        <v/>
      </c>
      <c r="C180" s="17">
        <f>THAM_DINH_KHOAN_VAY!$B$6/THAM_DINH_KHOAN_VAY!$B$7</f>
        <v/>
      </c>
      <c r="D180" s="18">
        <f>THAM_DINH_KHOAN_VAY!$B$9</f>
        <v/>
      </c>
      <c r="E180" s="17">
        <f>B180*(D180/12)</f>
        <v/>
      </c>
      <c r="F180" s="17">
        <f>C180+E180</f>
        <v/>
      </c>
      <c r="G180" s="17">
        <f>MAX(0, B180-C180)</f>
        <v/>
      </c>
    </row>
    <row r="181">
      <c r="A181" s="19" t="n">
        <v>178</v>
      </c>
      <c r="B181" s="20">
        <f>G180</f>
        <v/>
      </c>
      <c r="C181" s="20">
        <f>THAM_DINH_KHOAN_VAY!$B$6/THAM_DINH_KHOAN_VAY!$B$7</f>
        <v/>
      </c>
      <c r="D181" s="21">
        <f>THAM_DINH_KHOAN_VAY!$B$9</f>
        <v/>
      </c>
      <c r="E181" s="20">
        <f>B181*(D181/12)</f>
        <v/>
      </c>
      <c r="F181" s="20">
        <f>C181+E181</f>
        <v/>
      </c>
      <c r="G181" s="20">
        <f>MAX(0, B181-C181)</f>
        <v/>
      </c>
    </row>
    <row r="182">
      <c r="A182" s="16" t="n">
        <v>179</v>
      </c>
      <c r="B182" s="17">
        <f>G181</f>
        <v/>
      </c>
      <c r="C182" s="17">
        <f>THAM_DINH_KHOAN_VAY!$B$6/THAM_DINH_KHOAN_VAY!$B$7</f>
        <v/>
      </c>
      <c r="D182" s="18">
        <f>THAM_DINH_KHOAN_VAY!$B$9</f>
        <v/>
      </c>
      <c r="E182" s="17">
        <f>B182*(D182/12)</f>
        <v/>
      </c>
      <c r="F182" s="17">
        <f>C182+E182</f>
        <v/>
      </c>
      <c r="G182" s="17">
        <f>MAX(0, B182-C182)</f>
        <v/>
      </c>
    </row>
    <row r="183">
      <c r="A183" s="19" t="n">
        <v>180</v>
      </c>
      <c r="B183" s="20">
        <f>G182</f>
        <v/>
      </c>
      <c r="C183" s="20">
        <f>THAM_DINH_KHOAN_VAY!$B$6/THAM_DINH_KHOAN_VAY!$B$7</f>
        <v/>
      </c>
      <c r="D183" s="21">
        <f>THAM_DINH_KHOAN_VAY!$B$9</f>
        <v/>
      </c>
      <c r="E183" s="20">
        <f>B183*(D183/12)</f>
        <v/>
      </c>
      <c r="F183" s="20">
        <f>C183+E183</f>
        <v/>
      </c>
      <c r="G183" s="20">
        <f>MAX(0, B183-C183)</f>
        <v/>
      </c>
    </row>
    <row r="184">
      <c r="A184" s="16" t="n">
        <v>181</v>
      </c>
      <c r="B184" s="17">
        <f>G183</f>
        <v/>
      </c>
      <c r="C184" s="17">
        <f>THAM_DINH_KHOAN_VAY!$B$6/THAM_DINH_KHOAN_VAY!$B$7</f>
        <v/>
      </c>
      <c r="D184" s="18">
        <f>THAM_DINH_KHOAN_VAY!$B$9</f>
        <v/>
      </c>
      <c r="E184" s="17">
        <f>B184*(D184/12)</f>
        <v/>
      </c>
      <c r="F184" s="17">
        <f>C184+E184</f>
        <v/>
      </c>
      <c r="G184" s="17">
        <f>MAX(0, B184-C184)</f>
        <v/>
      </c>
    </row>
    <row r="185">
      <c r="A185" s="19" t="n">
        <v>182</v>
      </c>
      <c r="B185" s="20">
        <f>G184</f>
        <v/>
      </c>
      <c r="C185" s="20">
        <f>THAM_DINH_KHOAN_VAY!$B$6/THAM_DINH_KHOAN_VAY!$B$7</f>
        <v/>
      </c>
      <c r="D185" s="21">
        <f>THAM_DINH_KHOAN_VAY!$B$9</f>
        <v/>
      </c>
      <c r="E185" s="20">
        <f>B185*(D185/12)</f>
        <v/>
      </c>
      <c r="F185" s="20">
        <f>C185+E185</f>
        <v/>
      </c>
      <c r="G185" s="20">
        <f>MAX(0, B185-C185)</f>
        <v/>
      </c>
    </row>
    <row r="186">
      <c r="A186" s="16" t="n">
        <v>183</v>
      </c>
      <c r="B186" s="17">
        <f>G185</f>
        <v/>
      </c>
      <c r="C186" s="17">
        <f>THAM_DINH_KHOAN_VAY!$B$6/THAM_DINH_KHOAN_VAY!$B$7</f>
        <v/>
      </c>
      <c r="D186" s="18">
        <f>THAM_DINH_KHOAN_VAY!$B$9</f>
        <v/>
      </c>
      <c r="E186" s="17">
        <f>B186*(D186/12)</f>
        <v/>
      </c>
      <c r="F186" s="17">
        <f>C186+E186</f>
        <v/>
      </c>
      <c r="G186" s="17">
        <f>MAX(0, B186-C186)</f>
        <v/>
      </c>
    </row>
    <row r="187">
      <c r="A187" s="19" t="n">
        <v>184</v>
      </c>
      <c r="B187" s="20">
        <f>G186</f>
        <v/>
      </c>
      <c r="C187" s="20">
        <f>THAM_DINH_KHOAN_VAY!$B$6/THAM_DINH_KHOAN_VAY!$B$7</f>
        <v/>
      </c>
      <c r="D187" s="21">
        <f>THAM_DINH_KHOAN_VAY!$B$9</f>
        <v/>
      </c>
      <c r="E187" s="20">
        <f>B187*(D187/12)</f>
        <v/>
      </c>
      <c r="F187" s="20">
        <f>C187+E187</f>
        <v/>
      </c>
      <c r="G187" s="20">
        <f>MAX(0, B187-C187)</f>
        <v/>
      </c>
    </row>
    <row r="188">
      <c r="A188" s="16" t="n">
        <v>185</v>
      </c>
      <c r="B188" s="17">
        <f>G187</f>
        <v/>
      </c>
      <c r="C188" s="17">
        <f>THAM_DINH_KHOAN_VAY!$B$6/THAM_DINH_KHOAN_VAY!$B$7</f>
        <v/>
      </c>
      <c r="D188" s="18">
        <f>THAM_DINH_KHOAN_VAY!$B$9</f>
        <v/>
      </c>
      <c r="E188" s="17">
        <f>B188*(D188/12)</f>
        <v/>
      </c>
      <c r="F188" s="17">
        <f>C188+E188</f>
        <v/>
      </c>
      <c r="G188" s="17">
        <f>MAX(0, B188-C188)</f>
        <v/>
      </c>
    </row>
    <row r="189">
      <c r="A189" s="19" t="n">
        <v>186</v>
      </c>
      <c r="B189" s="20">
        <f>G188</f>
        <v/>
      </c>
      <c r="C189" s="20">
        <f>THAM_DINH_KHOAN_VAY!$B$6/THAM_DINH_KHOAN_VAY!$B$7</f>
        <v/>
      </c>
      <c r="D189" s="21">
        <f>THAM_DINH_KHOAN_VAY!$B$9</f>
        <v/>
      </c>
      <c r="E189" s="20">
        <f>B189*(D189/12)</f>
        <v/>
      </c>
      <c r="F189" s="20">
        <f>C189+E189</f>
        <v/>
      </c>
      <c r="G189" s="20">
        <f>MAX(0, B189-C189)</f>
        <v/>
      </c>
    </row>
    <row r="190">
      <c r="A190" s="16" t="n">
        <v>187</v>
      </c>
      <c r="B190" s="17">
        <f>G189</f>
        <v/>
      </c>
      <c r="C190" s="17">
        <f>THAM_DINH_KHOAN_VAY!$B$6/THAM_DINH_KHOAN_VAY!$B$7</f>
        <v/>
      </c>
      <c r="D190" s="18">
        <f>THAM_DINH_KHOAN_VAY!$B$9</f>
        <v/>
      </c>
      <c r="E190" s="17">
        <f>B190*(D190/12)</f>
        <v/>
      </c>
      <c r="F190" s="17">
        <f>C190+E190</f>
        <v/>
      </c>
      <c r="G190" s="17">
        <f>MAX(0, B190-C190)</f>
        <v/>
      </c>
    </row>
    <row r="191">
      <c r="A191" s="19" t="n">
        <v>188</v>
      </c>
      <c r="B191" s="20">
        <f>G190</f>
        <v/>
      </c>
      <c r="C191" s="20">
        <f>THAM_DINH_KHOAN_VAY!$B$6/THAM_DINH_KHOAN_VAY!$B$7</f>
        <v/>
      </c>
      <c r="D191" s="21">
        <f>THAM_DINH_KHOAN_VAY!$B$9</f>
        <v/>
      </c>
      <c r="E191" s="20">
        <f>B191*(D191/12)</f>
        <v/>
      </c>
      <c r="F191" s="20">
        <f>C191+E191</f>
        <v/>
      </c>
      <c r="G191" s="20">
        <f>MAX(0, B191-C191)</f>
        <v/>
      </c>
    </row>
    <row r="192">
      <c r="A192" s="16" t="n">
        <v>189</v>
      </c>
      <c r="B192" s="17">
        <f>G191</f>
        <v/>
      </c>
      <c r="C192" s="17">
        <f>THAM_DINH_KHOAN_VAY!$B$6/THAM_DINH_KHOAN_VAY!$B$7</f>
        <v/>
      </c>
      <c r="D192" s="18">
        <f>THAM_DINH_KHOAN_VAY!$B$9</f>
        <v/>
      </c>
      <c r="E192" s="17">
        <f>B192*(D192/12)</f>
        <v/>
      </c>
      <c r="F192" s="17">
        <f>C192+E192</f>
        <v/>
      </c>
      <c r="G192" s="17">
        <f>MAX(0, B192-C192)</f>
        <v/>
      </c>
    </row>
    <row r="193">
      <c r="A193" s="19" t="n">
        <v>190</v>
      </c>
      <c r="B193" s="20">
        <f>G192</f>
        <v/>
      </c>
      <c r="C193" s="20">
        <f>THAM_DINH_KHOAN_VAY!$B$6/THAM_DINH_KHOAN_VAY!$B$7</f>
        <v/>
      </c>
      <c r="D193" s="21">
        <f>THAM_DINH_KHOAN_VAY!$B$9</f>
        <v/>
      </c>
      <c r="E193" s="20">
        <f>B193*(D193/12)</f>
        <v/>
      </c>
      <c r="F193" s="20">
        <f>C193+E193</f>
        <v/>
      </c>
      <c r="G193" s="20">
        <f>MAX(0, B193-C193)</f>
        <v/>
      </c>
    </row>
    <row r="194">
      <c r="A194" s="16" t="n">
        <v>191</v>
      </c>
      <c r="B194" s="17">
        <f>G193</f>
        <v/>
      </c>
      <c r="C194" s="17">
        <f>THAM_DINH_KHOAN_VAY!$B$6/THAM_DINH_KHOAN_VAY!$B$7</f>
        <v/>
      </c>
      <c r="D194" s="18">
        <f>THAM_DINH_KHOAN_VAY!$B$9</f>
        <v/>
      </c>
      <c r="E194" s="17">
        <f>B194*(D194/12)</f>
        <v/>
      </c>
      <c r="F194" s="17">
        <f>C194+E194</f>
        <v/>
      </c>
      <c r="G194" s="17">
        <f>MAX(0, B194-C194)</f>
        <v/>
      </c>
    </row>
    <row r="195">
      <c r="A195" s="19" t="n">
        <v>192</v>
      </c>
      <c r="B195" s="20">
        <f>G194</f>
        <v/>
      </c>
      <c r="C195" s="20">
        <f>THAM_DINH_KHOAN_VAY!$B$6/THAM_DINH_KHOAN_VAY!$B$7</f>
        <v/>
      </c>
      <c r="D195" s="21">
        <f>THAM_DINH_KHOAN_VAY!$B$9</f>
        <v/>
      </c>
      <c r="E195" s="20">
        <f>B195*(D195/12)</f>
        <v/>
      </c>
      <c r="F195" s="20">
        <f>C195+E195</f>
        <v/>
      </c>
      <c r="G195" s="20">
        <f>MAX(0, B195-C195)</f>
        <v/>
      </c>
    </row>
    <row r="196">
      <c r="A196" s="16" t="n">
        <v>193</v>
      </c>
      <c r="B196" s="17">
        <f>G195</f>
        <v/>
      </c>
      <c r="C196" s="17">
        <f>THAM_DINH_KHOAN_VAY!$B$6/THAM_DINH_KHOAN_VAY!$B$7</f>
        <v/>
      </c>
      <c r="D196" s="18">
        <f>THAM_DINH_KHOAN_VAY!$B$9</f>
        <v/>
      </c>
      <c r="E196" s="17">
        <f>B196*(D196/12)</f>
        <v/>
      </c>
      <c r="F196" s="17">
        <f>C196+E196</f>
        <v/>
      </c>
      <c r="G196" s="17">
        <f>MAX(0, B196-C196)</f>
        <v/>
      </c>
    </row>
    <row r="197">
      <c r="A197" s="19" t="n">
        <v>194</v>
      </c>
      <c r="B197" s="20">
        <f>G196</f>
        <v/>
      </c>
      <c r="C197" s="20">
        <f>THAM_DINH_KHOAN_VAY!$B$6/THAM_DINH_KHOAN_VAY!$B$7</f>
        <v/>
      </c>
      <c r="D197" s="21">
        <f>THAM_DINH_KHOAN_VAY!$B$9</f>
        <v/>
      </c>
      <c r="E197" s="20">
        <f>B197*(D197/12)</f>
        <v/>
      </c>
      <c r="F197" s="20">
        <f>C197+E197</f>
        <v/>
      </c>
      <c r="G197" s="20">
        <f>MAX(0, B197-C197)</f>
        <v/>
      </c>
    </row>
    <row r="198">
      <c r="A198" s="16" t="n">
        <v>195</v>
      </c>
      <c r="B198" s="17">
        <f>G197</f>
        <v/>
      </c>
      <c r="C198" s="17">
        <f>THAM_DINH_KHOAN_VAY!$B$6/THAM_DINH_KHOAN_VAY!$B$7</f>
        <v/>
      </c>
      <c r="D198" s="18">
        <f>THAM_DINH_KHOAN_VAY!$B$9</f>
        <v/>
      </c>
      <c r="E198" s="17">
        <f>B198*(D198/12)</f>
        <v/>
      </c>
      <c r="F198" s="17">
        <f>C198+E198</f>
        <v/>
      </c>
      <c r="G198" s="17">
        <f>MAX(0, B198-C198)</f>
        <v/>
      </c>
    </row>
    <row r="199">
      <c r="A199" s="19" t="n">
        <v>196</v>
      </c>
      <c r="B199" s="20">
        <f>G198</f>
        <v/>
      </c>
      <c r="C199" s="20">
        <f>THAM_DINH_KHOAN_VAY!$B$6/THAM_DINH_KHOAN_VAY!$B$7</f>
        <v/>
      </c>
      <c r="D199" s="21">
        <f>THAM_DINH_KHOAN_VAY!$B$9</f>
        <v/>
      </c>
      <c r="E199" s="20">
        <f>B199*(D199/12)</f>
        <v/>
      </c>
      <c r="F199" s="20">
        <f>C199+E199</f>
        <v/>
      </c>
      <c r="G199" s="20">
        <f>MAX(0, B199-C199)</f>
        <v/>
      </c>
    </row>
    <row r="200">
      <c r="A200" s="16" t="n">
        <v>197</v>
      </c>
      <c r="B200" s="17">
        <f>G199</f>
        <v/>
      </c>
      <c r="C200" s="17">
        <f>THAM_DINH_KHOAN_VAY!$B$6/THAM_DINH_KHOAN_VAY!$B$7</f>
        <v/>
      </c>
      <c r="D200" s="18">
        <f>THAM_DINH_KHOAN_VAY!$B$9</f>
        <v/>
      </c>
      <c r="E200" s="17">
        <f>B200*(D200/12)</f>
        <v/>
      </c>
      <c r="F200" s="17">
        <f>C200+E200</f>
        <v/>
      </c>
      <c r="G200" s="17">
        <f>MAX(0, B200-C200)</f>
        <v/>
      </c>
    </row>
    <row r="201">
      <c r="A201" s="19" t="n">
        <v>198</v>
      </c>
      <c r="B201" s="20">
        <f>G200</f>
        <v/>
      </c>
      <c r="C201" s="20">
        <f>THAM_DINH_KHOAN_VAY!$B$6/THAM_DINH_KHOAN_VAY!$B$7</f>
        <v/>
      </c>
      <c r="D201" s="21">
        <f>THAM_DINH_KHOAN_VAY!$B$9</f>
        <v/>
      </c>
      <c r="E201" s="20">
        <f>B201*(D201/12)</f>
        <v/>
      </c>
      <c r="F201" s="20">
        <f>C201+E201</f>
        <v/>
      </c>
      <c r="G201" s="20">
        <f>MAX(0, B201-C201)</f>
        <v/>
      </c>
    </row>
    <row r="202">
      <c r="A202" s="16" t="n">
        <v>199</v>
      </c>
      <c r="B202" s="17">
        <f>G201</f>
        <v/>
      </c>
      <c r="C202" s="17">
        <f>THAM_DINH_KHOAN_VAY!$B$6/THAM_DINH_KHOAN_VAY!$B$7</f>
        <v/>
      </c>
      <c r="D202" s="18">
        <f>THAM_DINH_KHOAN_VAY!$B$9</f>
        <v/>
      </c>
      <c r="E202" s="17">
        <f>B202*(D202/12)</f>
        <v/>
      </c>
      <c r="F202" s="17">
        <f>C202+E202</f>
        <v/>
      </c>
      <c r="G202" s="17">
        <f>MAX(0, B202-C202)</f>
        <v/>
      </c>
    </row>
    <row r="203">
      <c r="A203" s="19" t="n">
        <v>200</v>
      </c>
      <c r="B203" s="20">
        <f>G202</f>
        <v/>
      </c>
      <c r="C203" s="20">
        <f>THAM_DINH_KHOAN_VAY!$B$6/THAM_DINH_KHOAN_VAY!$B$7</f>
        <v/>
      </c>
      <c r="D203" s="21">
        <f>THAM_DINH_KHOAN_VAY!$B$9</f>
        <v/>
      </c>
      <c r="E203" s="20">
        <f>B203*(D203/12)</f>
        <v/>
      </c>
      <c r="F203" s="20">
        <f>C203+E203</f>
        <v/>
      </c>
      <c r="G203" s="20">
        <f>MAX(0, B203-C203)</f>
        <v/>
      </c>
    </row>
    <row r="204">
      <c r="A204" s="16" t="n">
        <v>201</v>
      </c>
      <c r="B204" s="17">
        <f>G203</f>
        <v/>
      </c>
      <c r="C204" s="17">
        <f>THAM_DINH_KHOAN_VAY!$B$6/THAM_DINH_KHOAN_VAY!$B$7</f>
        <v/>
      </c>
      <c r="D204" s="18">
        <f>THAM_DINH_KHOAN_VAY!$B$9</f>
        <v/>
      </c>
      <c r="E204" s="17">
        <f>B204*(D204/12)</f>
        <v/>
      </c>
      <c r="F204" s="17">
        <f>C204+E204</f>
        <v/>
      </c>
      <c r="G204" s="17">
        <f>MAX(0, B204-C204)</f>
        <v/>
      </c>
    </row>
    <row r="205">
      <c r="A205" s="19" t="n">
        <v>202</v>
      </c>
      <c r="B205" s="20">
        <f>G204</f>
        <v/>
      </c>
      <c r="C205" s="20">
        <f>THAM_DINH_KHOAN_VAY!$B$6/THAM_DINH_KHOAN_VAY!$B$7</f>
        <v/>
      </c>
      <c r="D205" s="21">
        <f>THAM_DINH_KHOAN_VAY!$B$9</f>
        <v/>
      </c>
      <c r="E205" s="20">
        <f>B205*(D205/12)</f>
        <v/>
      </c>
      <c r="F205" s="20">
        <f>C205+E205</f>
        <v/>
      </c>
      <c r="G205" s="20">
        <f>MAX(0, B205-C205)</f>
        <v/>
      </c>
    </row>
    <row r="206">
      <c r="A206" s="16" t="n">
        <v>203</v>
      </c>
      <c r="B206" s="17">
        <f>G205</f>
        <v/>
      </c>
      <c r="C206" s="17">
        <f>THAM_DINH_KHOAN_VAY!$B$6/THAM_DINH_KHOAN_VAY!$B$7</f>
        <v/>
      </c>
      <c r="D206" s="18">
        <f>THAM_DINH_KHOAN_VAY!$B$9</f>
        <v/>
      </c>
      <c r="E206" s="17">
        <f>B206*(D206/12)</f>
        <v/>
      </c>
      <c r="F206" s="17">
        <f>C206+E206</f>
        <v/>
      </c>
      <c r="G206" s="17">
        <f>MAX(0, B206-C206)</f>
        <v/>
      </c>
    </row>
    <row r="207">
      <c r="A207" s="19" t="n">
        <v>204</v>
      </c>
      <c r="B207" s="20">
        <f>G206</f>
        <v/>
      </c>
      <c r="C207" s="20">
        <f>THAM_DINH_KHOAN_VAY!$B$6/THAM_DINH_KHOAN_VAY!$B$7</f>
        <v/>
      </c>
      <c r="D207" s="21">
        <f>THAM_DINH_KHOAN_VAY!$B$9</f>
        <v/>
      </c>
      <c r="E207" s="20">
        <f>B207*(D207/12)</f>
        <v/>
      </c>
      <c r="F207" s="20">
        <f>C207+E207</f>
        <v/>
      </c>
      <c r="G207" s="20">
        <f>MAX(0, B207-C207)</f>
        <v/>
      </c>
    </row>
    <row r="208">
      <c r="A208" s="16" t="n">
        <v>205</v>
      </c>
      <c r="B208" s="17">
        <f>G207</f>
        <v/>
      </c>
      <c r="C208" s="17">
        <f>THAM_DINH_KHOAN_VAY!$B$6/THAM_DINH_KHOAN_VAY!$B$7</f>
        <v/>
      </c>
      <c r="D208" s="18">
        <f>THAM_DINH_KHOAN_VAY!$B$9</f>
        <v/>
      </c>
      <c r="E208" s="17">
        <f>B208*(D208/12)</f>
        <v/>
      </c>
      <c r="F208" s="17">
        <f>C208+E208</f>
        <v/>
      </c>
      <c r="G208" s="17">
        <f>MAX(0, B208-C208)</f>
        <v/>
      </c>
    </row>
    <row r="209">
      <c r="A209" s="19" t="n">
        <v>206</v>
      </c>
      <c r="B209" s="20">
        <f>G208</f>
        <v/>
      </c>
      <c r="C209" s="20">
        <f>THAM_DINH_KHOAN_VAY!$B$6/THAM_DINH_KHOAN_VAY!$B$7</f>
        <v/>
      </c>
      <c r="D209" s="21">
        <f>THAM_DINH_KHOAN_VAY!$B$9</f>
        <v/>
      </c>
      <c r="E209" s="20">
        <f>B209*(D209/12)</f>
        <v/>
      </c>
      <c r="F209" s="20">
        <f>C209+E209</f>
        <v/>
      </c>
      <c r="G209" s="20">
        <f>MAX(0, B209-C209)</f>
        <v/>
      </c>
    </row>
    <row r="210">
      <c r="A210" s="16" t="n">
        <v>207</v>
      </c>
      <c r="B210" s="17">
        <f>G209</f>
        <v/>
      </c>
      <c r="C210" s="17">
        <f>THAM_DINH_KHOAN_VAY!$B$6/THAM_DINH_KHOAN_VAY!$B$7</f>
        <v/>
      </c>
      <c r="D210" s="18">
        <f>THAM_DINH_KHOAN_VAY!$B$9</f>
        <v/>
      </c>
      <c r="E210" s="17">
        <f>B210*(D210/12)</f>
        <v/>
      </c>
      <c r="F210" s="17">
        <f>C210+E210</f>
        <v/>
      </c>
      <c r="G210" s="17">
        <f>MAX(0, B210-C210)</f>
        <v/>
      </c>
    </row>
    <row r="211">
      <c r="A211" s="19" t="n">
        <v>208</v>
      </c>
      <c r="B211" s="20">
        <f>G210</f>
        <v/>
      </c>
      <c r="C211" s="20">
        <f>THAM_DINH_KHOAN_VAY!$B$6/THAM_DINH_KHOAN_VAY!$B$7</f>
        <v/>
      </c>
      <c r="D211" s="21">
        <f>THAM_DINH_KHOAN_VAY!$B$9</f>
        <v/>
      </c>
      <c r="E211" s="20">
        <f>B211*(D211/12)</f>
        <v/>
      </c>
      <c r="F211" s="20">
        <f>C211+E211</f>
        <v/>
      </c>
      <c r="G211" s="20">
        <f>MAX(0, B211-C211)</f>
        <v/>
      </c>
    </row>
    <row r="212">
      <c r="A212" s="16" t="n">
        <v>209</v>
      </c>
      <c r="B212" s="17">
        <f>G211</f>
        <v/>
      </c>
      <c r="C212" s="17">
        <f>THAM_DINH_KHOAN_VAY!$B$6/THAM_DINH_KHOAN_VAY!$B$7</f>
        <v/>
      </c>
      <c r="D212" s="18">
        <f>THAM_DINH_KHOAN_VAY!$B$9</f>
        <v/>
      </c>
      <c r="E212" s="17">
        <f>B212*(D212/12)</f>
        <v/>
      </c>
      <c r="F212" s="17">
        <f>C212+E212</f>
        <v/>
      </c>
      <c r="G212" s="17">
        <f>MAX(0, B212-C212)</f>
        <v/>
      </c>
    </row>
    <row r="213">
      <c r="A213" s="19" t="n">
        <v>210</v>
      </c>
      <c r="B213" s="20">
        <f>G212</f>
        <v/>
      </c>
      <c r="C213" s="20">
        <f>THAM_DINH_KHOAN_VAY!$B$6/THAM_DINH_KHOAN_VAY!$B$7</f>
        <v/>
      </c>
      <c r="D213" s="21">
        <f>THAM_DINH_KHOAN_VAY!$B$9</f>
        <v/>
      </c>
      <c r="E213" s="20">
        <f>B213*(D213/12)</f>
        <v/>
      </c>
      <c r="F213" s="20">
        <f>C213+E213</f>
        <v/>
      </c>
      <c r="G213" s="20">
        <f>MAX(0, B213-C213)</f>
        <v/>
      </c>
    </row>
    <row r="214">
      <c r="A214" s="16" t="n">
        <v>211</v>
      </c>
      <c r="B214" s="17">
        <f>G213</f>
        <v/>
      </c>
      <c r="C214" s="17">
        <f>THAM_DINH_KHOAN_VAY!$B$6/THAM_DINH_KHOAN_VAY!$B$7</f>
        <v/>
      </c>
      <c r="D214" s="18">
        <f>THAM_DINH_KHOAN_VAY!$B$9</f>
        <v/>
      </c>
      <c r="E214" s="17">
        <f>B214*(D214/12)</f>
        <v/>
      </c>
      <c r="F214" s="17">
        <f>C214+E214</f>
        <v/>
      </c>
      <c r="G214" s="17">
        <f>MAX(0, B214-C214)</f>
        <v/>
      </c>
    </row>
    <row r="215">
      <c r="A215" s="19" t="n">
        <v>212</v>
      </c>
      <c r="B215" s="20">
        <f>G214</f>
        <v/>
      </c>
      <c r="C215" s="20">
        <f>THAM_DINH_KHOAN_VAY!$B$6/THAM_DINH_KHOAN_VAY!$B$7</f>
        <v/>
      </c>
      <c r="D215" s="21">
        <f>THAM_DINH_KHOAN_VAY!$B$9</f>
        <v/>
      </c>
      <c r="E215" s="20">
        <f>B215*(D215/12)</f>
        <v/>
      </c>
      <c r="F215" s="20">
        <f>C215+E215</f>
        <v/>
      </c>
      <c r="G215" s="20">
        <f>MAX(0, B215-C215)</f>
        <v/>
      </c>
    </row>
    <row r="216">
      <c r="A216" s="16" t="n">
        <v>213</v>
      </c>
      <c r="B216" s="17">
        <f>G215</f>
        <v/>
      </c>
      <c r="C216" s="17">
        <f>THAM_DINH_KHOAN_VAY!$B$6/THAM_DINH_KHOAN_VAY!$B$7</f>
        <v/>
      </c>
      <c r="D216" s="18">
        <f>THAM_DINH_KHOAN_VAY!$B$9</f>
        <v/>
      </c>
      <c r="E216" s="17">
        <f>B216*(D216/12)</f>
        <v/>
      </c>
      <c r="F216" s="17">
        <f>C216+E216</f>
        <v/>
      </c>
      <c r="G216" s="17">
        <f>MAX(0, B216-C216)</f>
        <v/>
      </c>
    </row>
    <row r="217">
      <c r="A217" s="19" t="n">
        <v>214</v>
      </c>
      <c r="B217" s="20">
        <f>G216</f>
        <v/>
      </c>
      <c r="C217" s="20">
        <f>THAM_DINH_KHOAN_VAY!$B$6/THAM_DINH_KHOAN_VAY!$B$7</f>
        <v/>
      </c>
      <c r="D217" s="21">
        <f>THAM_DINH_KHOAN_VAY!$B$9</f>
        <v/>
      </c>
      <c r="E217" s="20">
        <f>B217*(D217/12)</f>
        <v/>
      </c>
      <c r="F217" s="20">
        <f>C217+E217</f>
        <v/>
      </c>
      <c r="G217" s="20">
        <f>MAX(0, B217-C217)</f>
        <v/>
      </c>
    </row>
    <row r="218">
      <c r="A218" s="16" t="n">
        <v>215</v>
      </c>
      <c r="B218" s="17">
        <f>G217</f>
        <v/>
      </c>
      <c r="C218" s="17">
        <f>THAM_DINH_KHOAN_VAY!$B$6/THAM_DINH_KHOAN_VAY!$B$7</f>
        <v/>
      </c>
      <c r="D218" s="18">
        <f>THAM_DINH_KHOAN_VAY!$B$9</f>
        <v/>
      </c>
      <c r="E218" s="17">
        <f>B218*(D218/12)</f>
        <v/>
      </c>
      <c r="F218" s="17">
        <f>C218+E218</f>
        <v/>
      </c>
      <c r="G218" s="17">
        <f>MAX(0, B218-C218)</f>
        <v/>
      </c>
    </row>
    <row r="219">
      <c r="A219" s="19" t="n">
        <v>216</v>
      </c>
      <c r="B219" s="20">
        <f>G218</f>
        <v/>
      </c>
      <c r="C219" s="20">
        <f>THAM_DINH_KHOAN_VAY!$B$6/THAM_DINH_KHOAN_VAY!$B$7</f>
        <v/>
      </c>
      <c r="D219" s="21">
        <f>THAM_DINH_KHOAN_VAY!$B$9</f>
        <v/>
      </c>
      <c r="E219" s="20">
        <f>B219*(D219/12)</f>
        <v/>
      </c>
      <c r="F219" s="20">
        <f>C219+E219</f>
        <v/>
      </c>
      <c r="G219" s="20">
        <f>MAX(0, B219-C219)</f>
        <v/>
      </c>
    </row>
    <row r="220">
      <c r="A220" s="16" t="n">
        <v>217</v>
      </c>
      <c r="B220" s="17">
        <f>G219</f>
        <v/>
      </c>
      <c r="C220" s="17">
        <f>THAM_DINH_KHOAN_VAY!$B$6/THAM_DINH_KHOAN_VAY!$B$7</f>
        <v/>
      </c>
      <c r="D220" s="18">
        <f>THAM_DINH_KHOAN_VAY!$B$9</f>
        <v/>
      </c>
      <c r="E220" s="17">
        <f>B220*(D220/12)</f>
        <v/>
      </c>
      <c r="F220" s="17">
        <f>C220+E220</f>
        <v/>
      </c>
      <c r="G220" s="17">
        <f>MAX(0, B220-C220)</f>
        <v/>
      </c>
    </row>
    <row r="221">
      <c r="A221" s="19" t="n">
        <v>218</v>
      </c>
      <c r="B221" s="20">
        <f>G220</f>
        <v/>
      </c>
      <c r="C221" s="20">
        <f>THAM_DINH_KHOAN_VAY!$B$6/THAM_DINH_KHOAN_VAY!$B$7</f>
        <v/>
      </c>
      <c r="D221" s="21">
        <f>THAM_DINH_KHOAN_VAY!$B$9</f>
        <v/>
      </c>
      <c r="E221" s="20">
        <f>B221*(D221/12)</f>
        <v/>
      </c>
      <c r="F221" s="20">
        <f>C221+E221</f>
        <v/>
      </c>
      <c r="G221" s="20">
        <f>MAX(0, B221-C221)</f>
        <v/>
      </c>
    </row>
    <row r="222">
      <c r="A222" s="16" t="n">
        <v>219</v>
      </c>
      <c r="B222" s="17">
        <f>G221</f>
        <v/>
      </c>
      <c r="C222" s="17">
        <f>THAM_DINH_KHOAN_VAY!$B$6/THAM_DINH_KHOAN_VAY!$B$7</f>
        <v/>
      </c>
      <c r="D222" s="18">
        <f>THAM_DINH_KHOAN_VAY!$B$9</f>
        <v/>
      </c>
      <c r="E222" s="17">
        <f>B222*(D222/12)</f>
        <v/>
      </c>
      <c r="F222" s="17">
        <f>C222+E222</f>
        <v/>
      </c>
      <c r="G222" s="17">
        <f>MAX(0, B222-C222)</f>
        <v/>
      </c>
    </row>
    <row r="223">
      <c r="A223" s="19" t="n">
        <v>220</v>
      </c>
      <c r="B223" s="20">
        <f>G222</f>
        <v/>
      </c>
      <c r="C223" s="20">
        <f>THAM_DINH_KHOAN_VAY!$B$6/THAM_DINH_KHOAN_VAY!$B$7</f>
        <v/>
      </c>
      <c r="D223" s="21">
        <f>THAM_DINH_KHOAN_VAY!$B$9</f>
        <v/>
      </c>
      <c r="E223" s="20">
        <f>B223*(D223/12)</f>
        <v/>
      </c>
      <c r="F223" s="20">
        <f>C223+E223</f>
        <v/>
      </c>
      <c r="G223" s="20">
        <f>MAX(0, B223-C223)</f>
        <v/>
      </c>
    </row>
    <row r="224">
      <c r="A224" s="16" t="n">
        <v>221</v>
      </c>
      <c r="B224" s="17">
        <f>G223</f>
        <v/>
      </c>
      <c r="C224" s="17">
        <f>THAM_DINH_KHOAN_VAY!$B$6/THAM_DINH_KHOAN_VAY!$B$7</f>
        <v/>
      </c>
      <c r="D224" s="18">
        <f>THAM_DINH_KHOAN_VAY!$B$9</f>
        <v/>
      </c>
      <c r="E224" s="17">
        <f>B224*(D224/12)</f>
        <v/>
      </c>
      <c r="F224" s="17">
        <f>C224+E224</f>
        <v/>
      </c>
      <c r="G224" s="17">
        <f>MAX(0, B224-C224)</f>
        <v/>
      </c>
    </row>
    <row r="225">
      <c r="A225" s="19" t="n">
        <v>222</v>
      </c>
      <c r="B225" s="20">
        <f>G224</f>
        <v/>
      </c>
      <c r="C225" s="20">
        <f>THAM_DINH_KHOAN_VAY!$B$6/THAM_DINH_KHOAN_VAY!$B$7</f>
        <v/>
      </c>
      <c r="D225" s="21">
        <f>THAM_DINH_KHOAN_VAY!$B$9</f>
        <v/>
      </c>
      <c r="E225" s="20">
        <f>B225*(D225/12)</f>
        <v/>
      </c>
      <c r="F225" s="20">
        <f>C225+E225</f>
        <v/>
      </c>
      <c r="G225" s="20">
        <f>MAX(0, B225-C225)</f>
        <v/>
      </c>
    </row>
    <row r="226">
      <c r="A226" s="16" t="n">
        <v>223</v>
      </c>
      <c r="B226" s="17">
        <f>G225</f>
        <v/>
      </c>
      <c r="C226" s="17">
        <f>THAM_DINH_KHOAN_VAY!$B$6/THAM_DINH_KHOAN_VAY!$B$7</f>
        <v/>
      </c>
      <c r="D226" s="18">
        <f>THAM_DINH_KHOAN_VAY!$B$9</f>
        <v/>
      </c>
      <c r="E226" s="17">
        <f>B226*(D226/12)</f>
        <v/>
      </c>
      <c r="F226" s="17">
        <f>C226+E226</f>
        <v/>
      </c>
      <c r="G226" s="17">
        <f>MAX(0, B226-C226)</f>
        <v/>
      </c>
    </row>
    <row r="227">
      <c r="A227" s="19" t="n">
        <v>224</v>
      </c>
      <c r="B227" s="20">
        <f>G226</f>
        <v/>
      </c>
      <c r="C227" s="20">
        <f>THAM_DINH_KHOAN_VAY!$B$6/THAM_DINH_KHOAN_VAY!$B$7</f>
        <v/>
      </c>
      <c r="D227" s="21">
        <f>THAM_DINH_KHOAN_VAY!$B$9</f>
        <v/>
      </c>
      <c r="E227" s="20">
        <f>B227*(D227/12)</f>
        <v/>
      </c>
      <c r="F227" s="20">
        <f>C227+E227</f>
        <v/>
      </c>
      <c r="G227" s="20">
        <f>MAX(0, B227-C227)</f>
        <v/>
      </c>
    </row>
    <row r="228">
      <c r="A228" s="16" t="n">
        <v>225</v>
      </c>
      <c r="B228" s="17">
        <f>G227</f>
        <v/>
      </c>
      <c r="C228" s="17">
        <f>THAM_DINH_KHOAN_VAY!$B$6/THAM_DINH_KHOAN_VAY!$B$7</f>
        <v/>
      </c>
      <c r="D228" s="18">
        <f>THAM_DINH_KHOAN_VAY!$B$9</f>
        <v/>
      </c>
      <c r="E228" s="17">
        <f>B228*(D228/12)</f>
        <v/>
      </c>
      <c r="F228" s="17">
        <f>C228+E228</f>
        <v/>
      </c>
      <c r="G228" s="17">
        <f>MAX(0, B228-C228)</f>
        <v/>
      </c>
    </row>
    <row r="229">
      <c r="A229" s="19" t="n">
        <v>226</v>
      </c>
      <c r="B229" s="20">
        <f>G228</f>
        <v/>
      </c>
      <c r="C229" s="20">
        <f>THAM_DINH_KHOAN_VAY!$B$6/THAM_DINH_KHOAN_VAY!$B$7</f>
        <v/>
      </c>
      <c r="D229" s="21">
        <f>THAM_DINH_KHOAN_VAY!$B$9</f>
        <v/>
      </c>
      <c r="E229" s="20">
        <f>B229*(D229/12)</f>
        <v/>
      </c>
      <c r="F229" s="20">
        <f>C229+E229</f>
        <v/>
      </c>
      <c r="G229" s="20">
        <f>MAX(0, B229-C229)</f>
        <v/>
      </c>
    </row>
    <row r="230">
      <c r="A230" s="16" t="n">
        <v>227</v>
      </c>
      <c r="B230" s="17">
        <f>G229</f>
        <v/>
      </c>
      <c r="C230" s="17">
        <f>THAM_DINH_KHOAN_VAY!$B$6/THAM_DINH_KHOAN_VAY!$B$7</f>
        <v/>
      </c>
      <c r="D230" s="18">
        <f>THAM_DINH_KHOAN_VAY!$B$9</f>
        <v/>
      </c>
      <c r="E230" s="17">
        <f>B230*(D230/12)</f>
        <v/>
      </c>
      <c r="F230" s="17">
        <f>C230+E230</f>
        <v/>
      </c>
      <c r="G230" s="17">
        <f>MAX(0, B230-C230)</f>
        <v/>
      </c>
    </row>
    <row r="231">
      <c r="A231" s="19" t="n">
        <v>228</v>
      </c>
      <c r="B231" s="20">
        <f>G230</f>
        <v/>
      </c>
      <c r="C231" s="20">
        <f>THAM_DINH_KHOAN_VAY!$B$6/THAM_DINH_KHOAN_VAY!$B$7</f>
        <v/>
      </c>
      <c r="D231" s="21">
        <f>THAM_DINH_KHOAN_VAY!$B$9</f>
        <v/>
      </c>
      <c r="E231" s="20">
        <f>B231*(D231/12)</f>
        <v/>
      </c>
      <c r="F231" s="20">
        <f>C231+E231</f>
        <v/>
      </c>
      <c r="G231" s="20">
        <f>MAX(0, B231-C231)</f>
        <v/>
      </c>
    </row>
    <row r="232">
      <c r="A232" s="16" t="n">
        <v>229</v>
      </c>
      <c r="B232" s="17">
        <f>G231</f>
        <v/>
      </c>
      <c r="C232" s="17">
        <f>THAM_DINH_KHOAN_VAY!$B$6/THAM_DINH_KHOAN_VAY!$B$7</f>
        <v/>
      </c>
      <c r="D232" s="18">
        <f>THAM_DINH_KHOAN_VAY!$B$9</f>
        <v/>
      </c>
      <c r="E232" s="17">
        <f>B232*(D232/12)</f>
        <v/>
      </c>
      <c r="F232" s="17">
        <f>C232+E232</f>
        <v/>
      </c>
      <c r="G232" s="17">
        <f>MAX(0, B232-C232)</f>
        <v/>
      </c>
    </row>
    <row r="233">
      <c r="A233" s="19" t="n">
        <v>230</v>
      </c>
      <c r="B233" s="20">
        <f>G232</f>
        <v/>
      </c>
      <c r="C233" s="20">
        <f>THAM_DINH_KHOAN_VAY!$B$6/THAM_DINH_KHOAN_VAY!$B$7</f>
        <v/>
      </c>
      <c r="D233" s="21">
        <f>THAM_DINH_KHOAN_VAY!$B$9</f>
        <v/>
      </c>
      <c r="E233" s="20">
        <f>B233*(D233/12)</f>
        <v/>
      </c>
      <c r="F233" s="20">
        <f>C233+E233</f>
        <v/>
      </c>
      <c r="G233" s="20">
        <f>MAX(0, B233-C233)</f>
        <v/>
      </c>
    </row>
    <row r="234">
      <c r="A234" s="16" t="n">
        <v>231</v>
      </c>
      <c r="B234" s="17">
        <f>G233</f>
        <v/>
      </c>
      <c r="C234" s="17">
        <f>THAM_DINH_KHOAN_VAY!$B$6/THAM_DINH_KHOAN_VAY!$B$7</f>
        <v/>
      </c>
      <c r="D234" s="18">
        <f>THAM_DINH_KHOAN_VAY!$B$9</f>
        <v/>
      </c>
      <c r="E234" s="17">
        <f>B234*(D234/12)</f>
        <v/>
      </c>
      <c r="F234" s="17">
        <f>C234+E234</f>
        <v/>
      </c>
      <c r="G234" s="17">
        <f>MAX(0, B234-C234)</f>
        <v/>
      </c>
    </row>
    <row r="235">
      <c r="A235" s="19" t="n">
        <v>232</v>
      </c>
      <c r="B235" s="20">
        <f>G234</f>
        <v/>
      </c>
      <c r="C235" s="20">
        <f>THAM_DINH_KHOAN_VAY!$B$6/THAM_DINH_KHOAN_VAY!$B$7</f>
        <v/>
      </c>
      <c r="D235" s="21">
        <f>THAM_DINH_KHOAN_VAY!$B$9</f>
        <v/>
      </c>
      <c r="E235" s="20">
        <f>B235*(D235/12)</f>
        <v/>
      </c>
      <c r="F235" s="20">
        <f>C235+E235</f>
        <v/>
      </c>
      <c r="G235" s="20">
        <f>MAX(0, B235-C235)</f>
        <v/>
      </c>
    </row>
    <row r="236">
      <c r="A236" s="16" t="n">
        <v>233</v>
      </c>
      <c r="B236" s="17">
        <f>G235</f>
        <v/>
      </c>
      <c r="C236" s="17">
        <f>THAM_DINH_KHOAN_VAY!$B$6/THAM_DINH_KHOAN_VAY!$B$7</f>
        <v/>
      </c>
      <c r="D236" s="18">
        <f>THAM_DINH_KHOAN_VAY!$B$9</f>
        <v/>
      </c>
      <c r="E236" s="17">
        <f>B236*(D236/12)</f>
        <v/>
      </c>
      <c r="F236" s="17">
        <f>C236+E236</f>
        <v/>
      </c>
      <c r="G236" s="17">
        <f>MAX(0, B236-C236)</f>
        <v/>
      </c>
    </row>
    <row r="237">
      <c r="A237" s="19" t="n">
        <v>234</v>
      </c>
      <c r="B237" s="20">
        <f>G236</f>
        <v/>
      </c>
      <c r="C237" s="20">
        <f>THAM_DINH_KHOAN_VAY!$B$6/THAM_DINH_KHOAN_VAY!$B$7</f>
        <v/>
      </c>
      <c r="D237" s="21">
        <f>THAM_DINH_KHOAN_VAY!$B$9</f>
        <v/>
      </c>
      <c r="E237" s="20">
        <f>B237*(D237/12)</f>
        <v/>
      </c>
      <c r="F237" s="20">
        <f>C237+E237</f>
        <v/>
      </c>
      <c r="G237" s="20">
        <f>MAX(0, B237-C237)</f>
        <v/>
      </c>
    </row>
    <row r="238">
      <c r="A238" s="16" t="n">
        <v>235</v>
      </c>
      <c r="B238" s="17">
        <f>G237</f>
        <v/>
      </c>
      <c r="C238" s="17">
        <f>THAM_DINH_KHOAN_VAY!$B$6/THAM_DINH_KHOAN_VAY!$B$7</f>
        <v/>
      </c>
      <c r="D238" s="18">
        <f>THAM_DINH_KHOAN_VAY!$B$9</f>
        <v/>
      </c>
      <c r="E238" s="17">
        <f>B238*(D238/12)</f>
        <v/>
      </c>
      <c r="F238" s="17">
        <f>C238+E238</f>
        <v/>
      </c>
      <c r="G238" s="17">
        <f>MAX(0, B238-C238)</f>
        <v/>
      </c>
    </row>
    <row r="239">
      <c r="A239" s="19" t="n">
        <v>236</v>
      </c>
      <c r="B239" s="20">
        <f>G238</f>
        <v/>
      </c>
      <c r="C239" s="20">
        <f>THAM_DINH_KHOAN_VAY!$B$6/THAM_DINH_KHOAN_VAY!$B$7</f>
        <v/>
      </c>
      <c r="D239" s="21">
        <f>THAM_DINH_KHOAN_VAY!$B$9</f>
        <v/>
      </c>
      <c r="E239" s="20">
        <f>B239*(D239/12)</f>
        <v/>
      </c>
      <c r="F239" s="20">
        <f>C239+E239</f>
        <v/>
      </c>
      <c r="G239" s="20">
        <f>MAX(0, B239-C239)</f>
        <v/>
      </c>
    </row>
    <row r="240">
      <c r="A240" s="16" t="n">
        <v>237</v>
      </c>
      <c r="B240" s="17">
        <f>G239</f>
        <v/>
      </c>
      <c r="C240" s="17">
        <f>THAM_DINH_KHOAN_VAY!$B$6/THAM_DINH_KHOAN_VAY!$B$7</f>
        <v/>
      </c>
      <c r="D240" s="18">
        <f>THAM_DINH_KHOAN_VAY!$B$9</f>
        <v/>
      </c>
      <c r="E240" s="17">
        <f>B240*(D240/12)</f>
        <v/>
      </c>
      <c r="F240" s="17">
        <f>C240+E240</f>
        <v/>
      </c>
      <c r="G240" s="17">
        <f>MAX(0, B240-C240)</f>
        <v/>
      </c>
    </row>
    <row r="241">
      <c r="A241" s="19" t="n">
        <v>238</v>
      </c>
      <c r="B241" s="20">
        <f>G240</f>
        <v/>
      </c>
      <c r="C241" s="20">
        <f>THAM_DINH_KHOAN_VAY!$B$6/THAM_DINH_KHOAN_VAY!$B$7</f>
        <v/>
      </c>
      <c r="D241" s="21">
        <f>THAM_DINH_KHOAN_VAY!$B$9</f>
        <v/>
      </c>
      <c r="E241" s="20">
        <f>B241*(D241/12)</f>
        <v/>
      </c>
      <c r="F241" s="20">
        <f>C241+E241</f>
        <v/>
      </c>
      <c r="G241" s="20">
        <f>MAX(0, B241-C241)</f>
        <v/>
      </c>
    </row>
    <row r="242">
      <c r="A242" s="16" t="n">
        <v>239</v>
      </c>
      <c r="B242" s="17">
        <f>G241</f>
        <v/>
      </c>
      <c r="C242" s="17">
        <f>THAM_DINH_KHOAN_VAY!$B$6/THAM_DINH_KHOAN_VAY!$B$7</f>
        <v/>
      </c>
      <c r="D242" s="18">
        <f>THAM_DINH_KHOAN_VAY!$B$9</f>
        <v/>
      </c>
      <c r="E242" s="17">
        <f>B242*(D242/12)</f>
        <v/>
      </c>
      <c r="F242" s="17">
        <f>C242+E242</f>
        <v/>
      </c>
      <c r="G242" s="17">
        <f>MAX(0, B242-C242)</f>
        <v/>
      </c>
    </row>
    <row r="243">
      <c r="A243" s="19" t="n">
        <v>240</v>
      </c>
      <c r="B243" s="20">
        <f>G242</f>
        <v/>
      </c>
      <c r="C243" s="20">
        <f>THAM_DINH_KHOAN_VAY!$B$6/THAM_DINH_KHOAN_VAY!$B$7</f>
        <v/>
      </c>
      <c r="D243" s="21">
        <f>THAM_DINH_KHOAN_VAY!$B$9</f>
        <v/>
      </c>
      <c r="E243" s="20">
        <f>B243*(D243/12)</f>
        <v/>
      </c>
      <c r="F243" s="20">
        <f>C243+E243</f>
        <v/>
      </c>
      <c r="G243" s="20">
        <f>MAX(0, B243-C243)</f>
        <v/>
      </c>
    </row>
    <row r="244">
      <c r="A244" s="22" t="inlineStr">
        <is>
          <t>TỔNG CỘNG</t>
        </is>
      </c>
      <c r="B244" s="23" t="n"/>
      <c r="C244" s="24">
        <f>SUM(C4:C243)</f>
        <v/>
      </c>
      <c r="D244" s="23" t="n"/>
      <c r="E244" s="24">
        <f>SUM(E4:E243)</f>
        <v/>
      </c>
      <c r="F244" s="25">
        <f>SUM(F4:F243)</f>
        <v/>
      </c>
      <c r="G244" s="2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2026-08-27T05:12:25Z</dcterms:created>
  <dcterms:modified xmlns:dcterms="http://purl.org/dc/terms/" xmlns:xsi="http://www.w3.org/2001/XMLSchema-instance" xsi:type="dcterms:W3CDTF">2026-08-27T05:12:25Z</dcterms:modified>
</cp:coreProperties>
</file>